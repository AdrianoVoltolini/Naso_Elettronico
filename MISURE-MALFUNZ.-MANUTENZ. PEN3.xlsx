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sure e interruz" sheetId="1" state="visible" r:id="rId3"/>
    <sheet name="MANUTENZIONI" sheetId="2" state="visible" r:id="rId4"/>
    <sheet name="sintesi num acquisizioni e sito" sheetId="3" state="visible" r:id="rId5"/>
    <sheet name="Foglio3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<sst xmlns="http://schemas.openxmlformats.org/spreadsheetml/2006/main" count="298" uniqueCount="111">
  <si>
    <t xml:space="preserve">data inizio misure</t>
  </si>
  <si>
    <t xml:space="preserve">ora</t>
  </si>
  <si>
    <t xml:space="preserve">stop</t>
  </si>
  <si>
    <t xml:space="preserve">riavvio</t>
  </si>
  <si>
    <t xml:space="preserve">Casa Simoncelli</t>
  </si>
  <si>
    <t xml:space="preserve">N.B. Il 30/07/2020 ore 15:35 è stato staccato il PEN3 di PCA Tech. e alle ore 15:52 è stato avviato il PEN3 comunale appena revisionato.</t>
  </si>
  <si>
    <t xml:space="preserve">N.B. Anomalia PEN3 comunale: dal 22/10/2020 ore 20:22':28'' rileva quasi costantemente aria NON-SIMONCELLI </t>
  </si>
  <si>
    <t xml:space="preserve">N.B. Anomalia PEN3 comunale: dal 29/10/2020 grafico piatto costantemente sulla linea di ordinata 1; segna sempre aria NON-SIMONCELLI </t>
  </si>
  <si>
    <t xml:space="preserve">GEN-APR 2020</t>
  </si>
  <si>
    <t xml:space="preserve">dal</t>
  </si>
  <si>
    <t xml:space="preserve">al</t>
  </si>
  <si>
    <t xml:space="preserve">gg</t>
  </si>
  <si>
    <t xml:space="preserve">n misure</t>
  </si>
  <si>
    <t xml:space="preserve">misure al dì</t>
  </si>
  <si>
    <t xml:space="preserve">MAG-AGO 2020</t>
  </si>
  <si>
    <t xml:space="preserve">SET-DIC 2020</t>
  </si>
  <si>
    <t xml:space="preserve">TOTALE 2020</t>
  </si>
  <si>
    <t xml:space="preserve">In agosto qualche problema col router che un paio di volte si era bloccato e non inviava i dati al server, riattivato da Marco e Andrea (spento e riacceso e ri-infilato sim)</t>
  </si>
  <si>
    <t xml:space="preserve">N.B. Il 01/02/2021 Crivelli ha spedito il PEN3 di PCA Tech al museo</t>
  </si>
  <si>
    <t xml:space="preserve">N.B. Il 04/02/2021 ore 15:10 è stato staccato il PEN3 comunale  (poi spedito a PCA Technologies per controllo e revisione) e alle ore 16:06 è stato avviato il PEN3 di PCA Tech. (mandato in sostituzione da PCA Technologies per valutazione tecnica).</t>
  </si>
  <si>
    <t xml:space="preserve">N.B. 04/02/2021 ore 15:34 fatto ripartire acquisizione vento (si era bloccato il ?????????????)</t>
  </si>
  <si>
    <t xml:space="preserve">N.B. Il 05?/02/2021 spedito PEN3 comunale a PCA Technologies</t>
  </si>
  <si>
    <t xml:space="preserve">N.B. 03/03/2021 cambio filtro a carboni attivi (ore 14:45)</t>
  </si>
  <si>
    <t xml:space="preserve">GEN-APR 2021</t>
  </si>
  <si>
    <t xml:space="preserve">GIORNI DI MISURA 2021</t>
  </si>
  <si>
    <t xml:space="preserve">feb</t>
  </si>
  <si>
    <t xml:space="preserve">mar</t>
  </si>
  <si>
    <t xml:space="preserve">apr</t>
  </si>
  <si>
    <t xml:space="preserve">MAG-AGO 2021</t>
  </si>
  <si>
    <t xml:space="preserve">mag</t>
  </si>
  <si>
    <t xml:space="preserve">giu</t>
  </si>
  <si>
    <t xml:space="preserve">lug</t>
  </si>
  <si>
    <t xml:space="preserve">SET-DIC 2021</t>
  </si>
  <si>
    <t xml:space="preserve">set</t>
  </si>
  <si>
    <t xml:space="preserve">ott</t>
  </si>
  <si>
    <t xml:space="preserve">nov</t>
  </si>
  <si>
    <t xml:space="preserve">TOTALE 2021</t>
  </si>
  <si>
    <t xml:space="preserve">ago</t>
  </si>
  <si>
    <t xml:space="preserve">Il 4 febbraio alle 15:00 hanno tolto la corrente per tagliare l'erba e l'hanno rimessa solo l'8 febbraio alle 14:40 (la rilevazione vento è ripartita da sola, mentre il pen3 l'ho fatto ripartire io)</t>
  </si>
  <si>
    <t xml:space="preserve">dic</t>
  </si>
  <si>
    <t xml:space="preserve">Dovuto fare search device per riavviare le misure</t>
  </si>
  <si>
    <t xml:space="preserve">Dovuto ricollegare il devices per far ripartire le misurazioni</t>
  </si>
  <si>
    <t xml:space="preserve">GEN-GIU 2022</t>
  </si>
  <si>
    <t xml:space="preserve">GIORNI DI MISURA 2022</t>
  </si>
  <si>
    <t xml:space="preserve">gen</t>
  </si>
  <si>
    <t xml:space="preserve">LUG-DIC 2022</t>
  </si>
  <si>
    <t xml:space="preserve">TOTALE 2022</t>
  </si>
  <si>
    <t xml:space="preserve">Fatto ancora Search Device</t>
  </si>
  <si>
    <t xml:space="preserve">Search Device non funzionava: Marco andato da Simoncelli, ha spento e acceso il PEN3. Dopo Search Device ha funzionato (fatto ripartire WINMUSTER)</t>
  </si>
  <si>
    <t xml:space="preserve">N.B. 17/02/2023 cambio filtro a carboni attivi (ore 15:00 circa)</t>
  </si>
  <si>
    <t xml:space="preserve">N.B. 15/03/2023 causa fine credito PEN3 off-line; 30/03/2023 di nuovo on-line </t>
  </si>
  <si>
    <t xml:space="preserve">Marco ha dovuto spegnere e riaccendere il router e ripulire la SIM</t>
  </si>
  <si>
    <t xml:space="preserve">Si sono chiusi tutti i programmi e tutte le finestre tranne quella del meteo</t>
  </si>
  <si>
    <t xml:space="preserve">Dovuto fare search device</t>
  </si>
  <si>
    <t xml:space="preserve">Si è chiuso tutto tranne il meteo; fatto search device e riaperto cartelle e winmuster</t>
  </si>
  <si>
    <t xml:space="preserve">MANUTENZIONE PEN3METEO</t>
  </si>
  <si>
    <t xml:space="preserve">manutenzione periodica:     STOP 11 giugno 2018       RIAVVIO 5 luglio 2018</t>
  </si>
  <si>
    <t xml:space="preserve">dal 9 al 15/07 test </t>
  </si>
  <si>
    <t xml:space="preserve">22/02/2019 ore 17:20 stop per manutenzione sensore meteo; RIAVVIO 11/04/2019 ore 16:50</t>
  </si>
  <si>
    <t xml:space="preserve">07/05/2019 ore 15:17 pulizia sensori con alcol denaturato (diluito?) eseguito dai tecnici del Museo Civico</t>
  </si>
  <si>
    <t xml:space="preserve">15/05/2019 ore 12:05 pulizia sensori con alcol denaturato (diluito?) e cambio filtro carboni attivi dopo intervento (eseguito dai tecnici del Museo Civico)</t>
  </si>
  <si>
    <t xml:space="preserve">Il 4/6/2020 il pen3 è stato prelevato per la manutenzione quadriennale (tornato però malfunzionante il 30/7/2020)</t>
  </si>
  <si>
    <t xml:space="preserve">Staccato PEN3 FMC (spedito a PCA Technologies per controllo e revisione)</t>
  </si>
  <si>
    <t xml:space="preserve">Riavvio PEN3 PCA (utilizzato per valutazione)</t>
  </si>
  <si>
    <t xml:space="preserve">03/03/2021            14:45 cambio filtro a carboni attivi</t>
  </si>
  <si>
    <t xml:space="preserve">17/02/2023            ore 15:00 circa cambio filtro a carboni attivi</t>
  </si>
  <si>
    <t xml:space="preserve">SINTESI IN NUMERI DATI AMBIENTALI (ODORI, FREATIMETRIE, IPERSPETTRALI) RACCOLTI SUL CAMPO, FILE CARICATI ON LINE COME REPORT E GRAFICI, INSERITI NELLE SCHEDE DI DATABASE E AGGIORNAMENTO SITO EMAS (SCHEDE, STRUTTURA ETC)</t>
  </si>
  <si>
    <t xml:space="preserve">Postazioni di misura 2017 naso elettronico</t>
  </si>
  <si>
    <t xml:space="preserve">inizio misure</t>
  </si>
  <si>
    <t xml:space="preserve">fine misure</t>
  </si>
  <si>
    <t xml:space="preserve">durata (giorni)</t>
  </si>
  <si>
    <t xml:space="preserve">numero misure</t>
  </si>
  <si>
    <t xml:space="preserve">Sorgenti odorigene campionate 2017</t>
  </si>
  <si>
    <t xml:space="preserve">Sito</t>
  </si>
  <si>
    <t xml:space="preserve">data</t>
  </si>
  <si>
    <t xml:space="preserve">dettaglio sorgenti</t>
  </si>
  <si>
    <t xml:space="preserve">numero misure e relative analisi</t>
  </si>
  <si>
    <r>
      <rPr>
        <sz val="10"/>
        <color theme="1"/>
        <rFont val="Times New Roman"/>
        <family val="0"/>
        <charset val="1"/>
      </rPr>
      <t xml:space="preserve">Simoncelli, </t>
    </r>
    <r>
      <rPr>
        <sz val="10"/>
        <color rgb="FF000000"/>
        <rFont val="Times New Roman"/>
        <family val="0"/>
        <charset val="1"/>
      </rPr>
      <t xml:space="preserve">via Pederzini, 45</t>
    </r>
  </si>
  <si>
    <t xml:space="preserve">Aquaspace </t>
  </si>
  <si>
    <t xml:space="preserve">Aria in uscita dal sistema abbattimento odori (e step precedenti); vasca nitro; sedimentatore; interno magazzino di trattamento chimico; deposito fanghi secchi.</t>
  </si>
  <si>
    <t xml:space="preserve">Sandoz S.p.a. (test 24 h)</t>
  </si>
  <si>
    <t xml:space="preserve">Discarica Lavini </t>
  </si>
  <si>
    <t xml:space="preserve">Container umido; vagliatura e trituratura; differenziata plastica; tritume; “bag”; ramaglie; cumulo plastiche in zona ingresso.</t>
  </si>
  <si>
    <t xml:space="preserve">Sandoz S.p.a.</t>
  </si>
  <si>
    <t xml:space="preserve">Aria in uscita dal sistema di abbattimento odori; vasca depuratore; biofiltro. </t>
  </si>
  <si>
    <t xml:space="preserve">TOT</t>
  </si>
  <si>
    <t xml:space="preserve">Rovercenter</t>
  </si>
  <si>
    <t xml:space="preserve">Altro</t>
  </si>
  <si>
    <t xml:space="preserve">numero </t>
  </si>
  <si>
    <t xml:space="preserve">Schede aggiornate on line - sito EMAS</t>
  </si>
  <si>
    <t xml:space="preserve">n.</t>
  </si>
  <si>
    <t xml:space="preserve">Report, grafici etc caricati su pagina dedicata sito EMAS e modifiche struttura sito</t>
  </si>
  <si>
    <t xml:space="preserve">Segnalazioni nasi umani e altre registrate e analizzate 2017</t>
  </si>
  <si>
    <r>
      <rPr>
        <sz val="10"/>
        <color theme="1"/>
        <rFont val="Times New Roman"/>
        <family val="0"/>
        <charset val="1"/>
      </rPr>
      <t xml:space="preserve">zanzara-tigre </t>
    </r>
    <r>
      <rPr>
        <sz val="10"/>
        <color rgb="FF222222"/>
        <rFont val="Times New Roman"/>
        <family val="0"/>
        <charset val="1"/>
      </rPr>
      <t xml:space="preserve"> (129 trappole, tutte con scheda, di cui 83 attive nel 2017 e relative schede aggiornate settimanalmente per 27 settimane, dal 2 maggio al 31 ottobre)</t>
    </r>
  </si>
  <si>
    <t xml:space="preserve">report; grafici etc</t>
  </si>
  <si>
    <t xml:space="preserve">Immagini iperspettrali 2017 </t>
  </si>
  <si>
    <t xml:space="preserve">licheni </t>
  </si>
  <si>
    <t xml:space="preserve">interventi modifica struttura sito e creazione nuove pagine</t>
  </si>
  <si>
    <t xml:space="preserve">Misure freatimetria 2017 (rilievi mensili)</t>
  </si>
  <si>
    <t xml:space="preserve">odori</t>
  </si>
  <si>
    <t xml:space="preserve">pozzi</t>
  </si>
  <si>
    <t xml:space="preserve">colombi </t>
  </si>
  <si>
    <r>
      <rPr>
        <sz val="10"/>
        <color rgb="FF222222"/>
        <rFont val="Arial"/>
        <family val="0"/>
        <charset val="1"/>
      </rPr>
      <t xml:space="preserve"> NB. Nel 2017 si è richiesto un support online di Anthesi l'intervento per la modifica dell'architettura degli schema dei dati ambientali; il numero dell'intervento è </t>
    </r>
    <r>
      <rPr>
        <b val="true"/>
        <sz val="10"/>
        <color rgb="FF222222"/>
        <rFont val="Arial"/>
        <family val="0"/>
        <charset val="1"/>
      </rPr>
      <t xml:space="preserve">2017_24886.</t>
    </r>
  </si>
  <si>
    <t xml:space="preserve">Postazioni di misura 2018 naso elettronico</t>
  </si>
  <si>
    <t xml:space="preserve">scuola el. Guella Lizzana</t>
  </si>
  <si>
    <t xml:space="preserve">Campo Lizzana</t>
  </si>
  <si>
    <t xml:space="preserve">Potenziali sorgenti </t>
  </si>
  <si>
    <t xml:space="preserve">data campionamento</t>
  </si>
  <si>
    <t xml:space="preserve">Sandoz S.p.a. </t>
  </si>
  <si>
    <t xml:space="preserve">Depuratore Rovereto, Loc. Navicello</t>
  </si>
  <si>
    <t xml:space="preserve">Impianto FORSU, Loc. Navicello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</si>
</sst>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/m/yyyy"/>
    <numFmt numFmtId="166" formatCode="h:mm"/>
    <numFmt numFmtId="167" formatCode="dd/mm/yyyy"/>
    <numFmt numFmtId="168" formatCode="hh:mm:ss"/>
    <numFmt numFmtId="169" formatCode="0"/>
    <numFmt numFmtId="170" formatCode="mmm\-yy"/>
  </numFmts>
  <fonts count="2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0000"/>
      <name val="Calibri"/>
      <family val="0"/>
      <charset val="1"/>
    </font>
    <font>
      <b val="true"/>
      <sz val="18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1"/>
      <color rgb="FFFF0000"/>
      <name val="Calibri"/>
      <family val="0"/>
      <charset val="1"/>
    </font>
    <font>
      <b val="true"/>
      <sz val="11"/>
      <color rgb="FF0070C0"/>
      <name val="Calibri"/>
      <family val="0"/>
      <charset val="1"/>
    </font>
    <font>
      <b val="true"/>
      <sz val="10"/>
      <color theme="1"/>
      <name val="Times New Roman"/>
      <family val="0"/>
      <charset val="1"/>
    </font>
    <font>
      <sz val="10"/>
      <color theme="1"/>
      <name val="Times New Roman"/>
      <family val="0"/>
      <charset val="1"/>
    </font>
    <font>
      <sz val="10"/>
      <color rgb="FF000000"/>
      <name val="Times New Roman"/>
      <family val="0"/>
      <charset val="1"/>
    </font>
    <font>
      <sz val="10"/>
      <color rgb="FF0F02BE"/>
      <name val="Times New Roman"/>
      <family val="0"/>
      <charset val="1"/>
    </font>
    <font>
      <b val="true"/>
      <sz val="10"/>
      <color rgb="FFFF0000"/>
      <name val="Times New Roman"/>
      <family val="0"/>
      <charset val="1"/>
    </font>
    <font>
      <sz val="10"/>
      <color rgb="FF222222"/>
      <name val="Times New Roman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sz val="10"/>
      <color theme="1"/>
      <name val="Calibri"/>
      <family val="0"/>
      <charset val="1"/>
    </font>
    <font>
      <b val="true"/>
      <sz val="16"/>
      <color rgb="FF000000"/>
      <name val="Comic Sans MS"/>
      <family val="0"/>
      <charset val="1"/>
    </font>
    <font>
      <sz val="16"/>
      <color rgb="FF000000"/>
      <name val="Comic Sans MS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33CCCC"/>
      </patternFill>
    </fill>
    <fill>
      <patternFill patternType="solid">
        <fgColor rgb="FFC00000"/>
        <bgColor rgb="FFFF0000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10" fillId="0" borderId="1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1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0" fontId="10" fillId="0" borderId="1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1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12" fillId="0" borderId="1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2" fillId="0" borderId="1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1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1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1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7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64" fontId="19" fillId="0" borderId="2" xfId="0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  <xf numFmtId="170" fontId="19" fillId="0" borderId="2" xfId="0" applyFont="true" applyBorder="true" applyAlignment="true" applyProtection="true">
      <alignment horizontal="center" vertical="bottom" textRotation="0" wrapText="tru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F02BE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K25" activeCellId="0" sqref="K25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0.57"/>
    <col collapsed="false" customWidth="true" hidden="false" outlineLevel="0" max="3" min="3" style="1" width="8.86"/>
    <col collapsed="false" customWidth="true" hidden="false" outlineLevel="0" max="4" min="4" style="1" width="12.86"/>
    <col collapsed="false" customWidth="true" hidden="false" outlineLevel="0" max="5" min="5" style="1" width="10.71"/>
    <col collapsed="false" customWidth="true" hidden="false" outlineLevel="0" max="6" min="6" style="1" width="12.57"/>
    <col collapsed="false" customWidth="true" hidden="false" outlineLevel="0" max="7" min="7" style="1" width="10.71"/>
    <col collapsed="false" customWidth="true" hidden="false" outlineLevel="0" max="8" min="8" style="1" width="11.71"/>
    <col collapsed="false" customWidth="true" hidden="false" outlineLevel="0" max="10" min="9" style="1" width="8.71"/>
    <col collapsed="false" customWidth="true" hidden="false" outlineLevel="0" max="11" min="11" style="1" width="9.14"/>
    <col collapsed="false" customWidth="true" hidden="false" outlineLevel="0" max="12" min="12" style="1" width="8.71"/>
    <col collapsed="false" customWidth="true" hidden="false" outlineLevel="0" max="13" min="13" style="1" width="14.14"/>
    <col collapsed="false" customWidth="true" hidden="false" outlineLevel="0" max="14" min="14" style="1" width="8.71"/>
    <col collapsed="false" customWidth="true" hidden="false" outlineLevel="0" max="16" min="16" style="1" width="11"/>
    <col collapsed="false" customWidth="true" hidden="false" outlineLevel="0" max="26" min="17" style="1" width="8.71"/>
  </cols>
  <sheetData>
    <row r="1" customFormat="false" ht="15" hidden="false" customHeight="false" outlineLevel="0" collapsed="false">
      <c r="A1" s="2"/>
      <c r="B1" s="2"/>
      <c r="C1" s="2"/>
      <c r="D1" s="3"/>
      <c r="E1" s="4"/>
      <c r="F1" s="5"/>
      <c r="G1" s="4"/>
    </row>
    <row r="2" customFormat="false" ht="15" hidden="false" customHeight="true" outlineLevel="0" collapsed="false">
      <c r="A2" s="6" t="n">
        <v>2016</v>
      </c>
      <c r="B2" s="2"/>
      <c r="C2" s="2"/>
      <c r="D2" s="3"/>
      <c r="E2" s="4"/>
      <c r="F2" s="5"/>
      <c r="G2" s="4"/>
    </row>
    <row r="3" customFormat="false" ht="15" hidden="false" customHeight="false" outlineLevel="0" collapsed="false">
      <c r="A3" s="7"/>
      <c r="B3" s="8" t="s">
        <v>0</v>
      </c>
      <c r="C3" s="9" t="s">
        <v>1</v>
      </c>
      <c r="D3" s="8" t="s">
        <v>2</v>
      </c>
      <c r="E3" s="10" t="s">
        <v>1</v>
      </c>
      <c r="F3" s="8" t="s">
        <v>3</v>
      </c>
      <c r="G3" s="10" t="s">
        <v>1</v>
      </c>
    </row>
    <row r="4" customFormat="false" ht="15" hidden="false" customHeight="false" outlineLevel="0" collapsed="false">
      <c r="A4" s="7"/>
      <c r="B4" s="11"/>
      <c r="C4" s="12"/>
      <c r="D4" s="13" t="n">
        <v>36892</v>
      </c>
      <c r="E4" s="14" t="n">
        <v>0.000694444444444445</v>
      </c>
      <c r="F4" s="13" t="n">
        <v>42501</v>
      </c>
      <c r="G4" s="14" t="n">
        <v>0.472222222222222</v>
      </c>
    </row>
    <row r="5" customFormat="false" ht="15" hidden="false" customHeight="false" outlineLevel="0" collapsed="false">
      <c r="A5" s="2"/>
      <c r="B5" s="15"/>
      <c r="C5" s="16"/>
      <c r="D5" s="17" t="n">
        <v>42520</v>
      </c>
      <c r="E5" s="18" t="n">
        <v>0.457638888888889</v>
      </c>
      <c r="F5" s="17" t="n">
        <v>42522</v>
      </c>
      <c r="G5" s="18" t="n">
        <v>0.375</v>
      </c>
    </row>
    <row r="6" customFormat="false" ht="15" hidden="false" customHeight="false" outlineLevel="0" collapsed="false">
      <c r="A6" s="2"/>
      <c r="B6" s="15"/>
      <c r="C6" s="19"/>
      <c r="D6" s="17"/>
      <c r="E6" s="18"/>
      <c r="F6" s="7"/>
      <c r="G6" s="7"/>
      <c r="H6" s="20"/>
    </row>
    <row r="7" customFormat="false" ht="15" hidden="false" customHeight="false" outlineLevel="0" collapsed="false">
      <c r="A7" s="2"/>
      <c r="B7" s="15"/>
      <c r="C7" s="16"/>
      <c r="D7" s="17"/>
      <c r="E7" s="18"/>
      <c r="F7" s="17"/>
      <c r="G7" s="18"/>
      <c r="H7" s="20"/>
    </row>
    <row r="8" customFormat="false" ht="28.5" hidden="false" customHeight="true" outlineLevel="0" collapsed="false">
      <c r="A8" s="2"/>
      <c r="B8" s="15"/>
      <c r="C8" s="16"/>
      <c r="D8" s="17"/>
      <c r="E8" s="18"/>
      <c r="F8" s="17"/>
      <c r="G8" s="18"/>
      <c r="H8" s="20"/>
    </row>
    <row r="9" customFormat="false" ht="28.5" hidden="false" customHeight="true" outlineLevel="0" collapsed="false">
      <c r="A9" s="2"/>
      <c r="B9" s="15"/>
      <c r="C9" s="21"/>
      <c r="D9" s="17"/>
      <c r="E9" s="18"/>
      <c r="F9" s="17"/>
      <c r="G9" s="18"/>
    </row>
    <row r="10" customFormat="false" ht="28.5" hidden="false" customHeight="true" outlineLevel="0" collapsed="false">
      <c r="B10" s="22"/>
      <c r="C10" s="22"/>
      <c r="D10" s="23"/>
      <c r="E10" s="24"/>
      <c r="F10" s="25"/>
      <c r="G10" s="26"/>
    </row>
    <row r="11" customFormat="false" ht="15" hidden="false" customHeight="false" outlineLevel="0" collapsed="false">
      <c r="B11" s="7"/>
      <c r="C11" s="7"/>
      <c r="D11" s="27"/>
      <c r="E11" s="27"/>
      <c r="F11" s="28"/>
      <c r="G11" s="24"/>
    </row>
    <row r="12" customFormat="false" ht="15" hidden="false" customHeight="false" outlineLevel="0" collapsed="false">
      <c r="B12" s="7"/>
      <c r="C12" s="21"/>
      <c r="D12" s="17"/>
      <c r="E12" s="18"/>
      <c r="F12" s="17"/>
      <c r="G12" s="18"/>
    </row>
    <row r="13" customFormat="false" ht="15" hidden="false" customHeight="false" outlineLevel="0" collapsed="false">
      <c r="A13" s="2"/>
      <c r="B13" s="2"/>
      <c r="C13" s="2"/>
      <c r="D13" s="3"/>
      <c r="E13" s="4"/>
      <c r="F13" s="5"/>
      <c r="G13" s="4"/>
    </row>
    <row r="14" customFormat="false" ht="22.05" hidden="false" customHeight="false" outlineLevel="0" collapsed="false">
      <c r="A14" s="6" t="n">
        <v>2017</v>
      </c>
      <c r="B14" s="2"/>
      <c r="C14" s="2"/>
      <c r="D14" s="3"/>
      <c r="E14" s="4"/>
      <c r="F14" s="5"/>
      <c r="G14" s="4"/>
    </row>
    <row r="15" customFormat="false" ht="15" hidden="false" customHeight="false" outlineLevel="0" collapsed="false">
      <c r="A15" s="7"/>
      <c r="B15" s="8" t="s">
        <v>0</v>
      </c>
      <c r="C15" s="9" t="s">
        <v>1</v>
      </c>
      <c r="D15" s="8" t="s">
        <v>2</v>
      </c>
      <c r="E15" s="10" t="s">
        <v>1</v>
      </c>
      <c r="F15" s="8" t="s">
        <v>3</v>
      </c>
      <c r="G15" s="10" t="s">
        <v>1</v>
      </c>
    </row>
    <row r="16" customFormat="false" ht="15" hidden="false" customHeight="false" outlineLevel="0" collapsed="false">
      <c r="A16" s="7" t="s">
        <v>4</v>
      </c>
      <c r="B16" s="11"/>
      <c r="C16" s="12"/>
      <c r="D16" s="17" t="n">
        <v>42958</v>
      </c>
      <c r="E16" s="18" t="n">
        <v>0.618055555555556</v>
      </c>
      <c r="F16" s="17" t="n">
        <v>42959</v>
      </c>
      <c r="G16" s="18" t="n">
        <v>0.310416666666667</v>
      </c>
    </row>
    <row r="17" customFormat="false" ht="15" hidden="false" customHeight="false" outlineLevel="0" collapsed="false">
      <c r="A17" s="2"/>
      <c r="B17" s="15"/>
      <c r="C17" s="16"/>
      <c r="D17" s="17"/>
      <c r="E17" s="18"/>
      <c r="F17" s="17"/>
      <c r="G17" s="18"/>
    </row>
    <row r="18" customFormat="false" ht="15" hidden="false" customHeight="true" outlineLevel="0" collapsed="false">
      <c r="A18" s="2"/>
      <c r="B18" s="15"/>
      <c r="C18" s="19"/>
      <c r="D18" s="17"/>
      <c r="E18" s="18"/>
      <c r="F18" s="7"/>
      <c r="G18" s="7"/>
      <c r="H18" s="20"/>
    </row>
    <row r="19" customFormat="false" ht="15" hidden="false" customHeight="false" outlineLevel="0" collapsed="false">
      <c r="A19" s="2"/>
      <c r="B19" s="15"/>
      <c r="C19" s="16"/>
      <c r="D19" s="17"/>
      <c r="E19" s="18"/>
      <c r="F19" s="17"/>
      <c r="G19" s="18"/>
      <c r="H19" s="20"/>
    </row>
    <row r="20" customFormat="false" ht="15" hidden="false" customHeight="false" outlineLevel="0" collapsed="false">
      <c r="A20" s="2"/>
      <c r="B20" s="15"/>
      <c r="C20" s="16"/>
      <c r="D20" s="17"/>
      <c r="E20" s="18"/>
      <c r="F20" s="17"/>
      <c r="G20" s="18"/>
      <c r="H20" s="20"/>
    </row>
    <row r="21" customFormat="false" ht="15.75" hidden="false" customHeight="true" outlineLevel="0" collapsed="false">
      <c r="A21" s="2"/>
      <c r="B21" s="15"/>
      <c r="C21" s="21"/>
      <c r="D21" s="17"/>
      <c r="E21" s="18"/>
      <c r="F21" s="17"/>
      <c r="G21" s="18"/>
    </row>
    <row r="22" customFormat="false" ht="15.75" hidden="false" customHeight="true" outlineLevel="0" collapsed="false">
      <c r="B22" s="22"/>
      <c r="C22" s="22"/>
      <c r="D22" s="23"/>
      <c r="E22" s="24"/>
      <c r="F22" s="25"/>
      <c r="G22" s="26"/>
    </row>
    <row r="23" customFormat="false" ht="15.75" hidden="false" customHeight="true" outlineLevel="0" collapsed="false">
      <c r="B23" s="7"/>
      <c r="C23" s="7"/>
      <c r="D23" s="27"/>
      <c r="E23" s="27"/>
      <c r="F23" s="28"/>
      <c r="G23" s="24"/>
    </row>
    <row r="24" customFormat="false" ht="15.75" hidden="false" customHeight="true" outlineLevel="0" collapsed="false">
      <c r="B24" s="7"/>
      <c r="C24" s="21"/>
      <c r="D24" s="17"/>
      <c r="E24" s="18"/>
      <c r="F24" s="17"/>
      <c r="G24" s="18"/>
    </row>
    <row r="25" customFormat="false" ht="15.75" hidden="false" customHeight="true" outlineLevel="0" collapsed="false"/>
    <row r="26" customFormat="false" ht="15.75" hidden="false" customHeight="true" outlineLevel="0" collapsed="false">
      <c r="A26" s="2"/>
      <c r="B26" s="2"/>
      <c r="C26" s="2"/>
      <c r="D26" s="3"/>
      <c r="E26" s="4"/>
      <c r="F26" s="5"/>
      <c r="G26" s="4"/>
    </row>
    <row r="27" customFormat="false" ht="15.75" hidden="false" customHeight="true" outlineLevel="0" collapsed="false">
      <c r="A27" s="6" t="n">
        <v>2018</v>
      </c>
      <c r="B27" s="2"/>
      <c r="C27" s="2"/>
      <c r="D27" s="3"/>
      <c r="E27" s="4"/>
      <c r="F27" s="5"/>
      <c r="G27" s="4"/>
    </row>
    <row r="28" customFormat="false" ht="15.75" hidden="false" customHeight="true" outlineLevel="0" collapsed="false">
      <c r="A28" s="7"/>
      <c r="B28" s="8" t="s">
        <v>0</v>
      </c>
      <c r="C28" s="9" t="s">
        <v>1</v>
      </c>
      <c r="D28" s="8" t="s">
        <v>2</v>
      </c>
      <c r="E28" s="10" t="s">
        <v>1</v>
      </c>
      <c r="F28" s="8" t="s">
        <v>3</v>
      </c>
      <c r="G28" s="10" t="s">
        <v>1</v>
      </c>
    </row>
    <row r="29" customFormat="false" ht="15.75" hidden="false" customHeight="true" outlineLevel="0" collapsed="false">
      <c r="A29" s="7" t="s">
        <v>4</v>
      </c>
      <c r="B29" s="11"/>
      <c r="C29" s="12"/>
      <c r="D29" s="17" t="n">
        <v>43322</v>
      </c>
      <c r="E29" s="18" t="n">
        <v>0.449305555555556</v>
      </c>
      <c r="F29" s="17" t="n">
        <v>43322</v>
      </c>
      <c r="G29" s="18" t="n">
        <v>0.541666666666667</v>
      </c>
    </row>
    <row r="30" customFormat="false" ht="15.75" hidden="false" customHeight="true" outlineLevel="0" collapsed="false">
      <c r="A30" s="2"/>
      <c r="B30" s="15"/>
      <c r="C30" s="16"/>
      <c r="D30" s="17"/>
      <c r="E30" s="18"/>
      <c r="F30" s="17"/>
      <c r="G30" s="18"/>
    </row>
    <row r="31" customFormat="false" ht="15.75" hidden="false" customHeight="true" outlineLevel="0" collapsed="false">
      <c r="A31" s="2"/>
      <c r="B31" s="15"/>
      <c r="C31" s="19"/>
      <c r="D31" s="17"/>
      <c r="E31" s="18"/>
      <c r="F31" s="7"/>
      <c r="G31" s="7"/>
      <c r="H31" s="20"/>
    </row>
    <row r="32" customFormat="false" ht="15.75" hidden="false" customHeight="true" outlineLevel="0" collapsed="false">
      <c r="A32" s="2"/>
      <c r="B32" s="15"/>
      <c r="C32" s="16"/>
      <c r="D32" s="17"/>
      <c r="E32" s="18"/>
      <c r="F32" s="17"/>
      <c r="G32" s="18"/>
      <c r="H32" s="20"/>
    </row>
    <row r="33" customFormat="false" ht="15.75" hidden="false" customHeight="true" outlineLevel="0" collapsed="false">
      <c r="A33" s="2"/>
      <c r="B33" s="15"/>
      <c r="C33" s="16"/>
      <c r="D33" s="17"/>
      <c r="E33" s="18"/>
      <c r="F33" s="17"/>
      <c r="G33" s="18"/>
      <c r="H33" s="20"/>
    </row>
    <row r="34" customFormat="false" ht="15.75" hidden="false" customHeight="true" outlineLevel="0" collapsed="false">
      <c r="A34" s="2"/>
      <c r="B34" s="15"/>
      <c r="C34" s="21"/>
      <c r="D34" s="17"/>
      <c r="E34" s="18"/>
      <c r="F34" s="17"/>
      <c r="G34" s="18"/>
    </row>
    <row r="35" customFormat="false" ht="15.75" hidden="false" customHeight="true" outlineLevel="0" collapsed="false">
      <c r="B35" s="22"/>
      <c r="C35" s="22"/>
      <c r="D35" s="23"/>
      <c r="E35" s="24"/>
      <c r="F35" s="25"/>
      <c r="G35" s="26"/>
    </row>
    <row r="36" customFormat="false" ht="15.75" hidden="false" customHeight="true" outlineLevel="0" collapsed="false">
      <c r="B36" s="7"/>
      <c r="C36" s="7"/>
      <c r="D36" s="27"/>
      <c r="E36" s="27"/>
      <c r="F36" s="28"/>
      <c r="G36" s="24"/>
    </row>
    <row r="37" customFormat="false" ht="15.75" hidden="false" customHeight="true" outlineLevel="0" collapsed="false">
      <c r="B37" s="7"/>
      <c r="C37" s="21"/>
      <c r="D37" s="17"/>
      <c r="E37" s="18"/>
      <c r="F37" s="17"/>
      <c r="G37" s="18"/>
    </row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>
      <c r="A40" s="2"/>
      <c r="B40" s="2"/>
      <c r="C40" s="2"/>
      <c r="D40" s="3"/>
      <c r="E40" s="4"/>
      <c r="F40" s="5"/>
      <c r="G40" s="4"/>
    </row>
    <row r="41" customFormat="false" ht="15.75" hidden="false" customHeight="true" outlineLevel="0" collapsed="false">
      <c r="A41" s="6" t="n">
        <v>2019</v>
      </c>
      <c r="B41" s="2"/>
      <c r="C41" s="2"/>
      <c r="D41" s="3"/>
      <c r="E41" s="4"/>
      <c r="F41" s="5"/>
      <c r="G41" s="4"/>
    </row>
    <row r="42" customFormat="false" ht="15.75" hidden="false" customHeight="true" outlineLevel="0" collapsed="false">
      <c r="A42" s="7"/>
      <c r="B42" s="8" t="s">
        <v>0</v>
      </c>
      <c r="C42" s="9" t="s">
        <v>1</v>
      </c>
      <c r="D42" s="8" t="s">
        <v>2</v>
      </c>
      <c r="E42" s="10" t="s">
        <v>1</v>
      </c>
      <c r="F42" s="8" t="s">
        <v>3</v>
      </c>
      <c r="G42" s="10" t="s">
        <v>1</v>
      </c>
    </row>
    <row r="43" customFormat="false" ht="15.75" hidden="false" customHeight="true" outlineLevel="0" collapsed="false">
      <c r="A43" s="7"/>
      <c r="B43" s="11"/>
      <c r="C43" s="12"/>
      <c r="D43" s="17"/>
      <c r="E43" s="18"/>
      <c r="F43" s="17"/>
      <c r="G43" s="18"/>
    </row>
    <row r="44" customFormat="false" ht="15.75" hidden="false" customHeight="true" outlineLevel="0" collapsed="false">
      <c r="A44" s="2"/>
      <c r="B44" s="15"/>
      <c r="C44" s="16"/>
      <c r="D44" s="17"/>
      <c r="E44" s="18"/>
      <c r="F44" s="17"/>
      <c r="G44" s="18"/>
    </row>
    <row r="45" customFormat="false" ht="15.75" hidden="false" customHeight="true" outlineLevel="0" collapsed="false">
      <c r="A45" s="2"/>
      <c r="B45" s="15"/>
      <c r="C45" s="19"/>
      <c r="D45" s="17"/>
      <c r="E45" s="18"/>
      <c r="F45" s="7"/>
      <c r="G45" s="7"/>
      <c r="H45" s="20"/>
    </row>
    <row r="46" customFormat="false" ht="15.75" hidden="false" customHeight="true" outlineLevel="0" collapsed="false">
      <c r="A46" s="2"/>
      <c r="B46" s="15"/>
      <c r="C46" s="16"/>
      <c r="D46" s="17"/>
      <c r="E46" s="18"/>
      <c r="F46" s="17"/>
      <c r="G46" s="18"/>
      <c r="H46" s="20"/>
    </row>
    <row r="47" customFormat="false" ht="15.75" hidden="false" customHeight="true" outlineLevel="0" collapsed="false">
      <c r="A47" s="2"/>
      <c r="B47" s="15"/>
      <c r="C47" s="16"/>
      <c r="D47" s="17"/>
      <c r="E47" s="18"/>
      <c r="F47" s="17"/>
      <c r="G47" s="18"/>
      <c r="H47" s="20"/>
    </row>
    <row r="48" customFormat="false" ht="15.75" hidden="false" customHeight="true" outlineLevel="0" collapsed="false">
      <c r="A48" s="2"/>
      <c r="B48" s="15"/>
      <c r="C48" s="21"/>
      <c r="D48" s="17"/>
      <c r="E48" s="18"/>
      <c r="F48" s="17"/>
      <c r="G48" s="18"/>
    </row>
    <row r="49" customFormat="false" ht="15.75" hidden="false" customHeight="true" outlineLevel="0" collapsed="false">
      <c r="B49" s="22"/>
      <c r="C49" s="22"/>
      <c r="D49" s="23"/>
      <c r="E49" s="24"/>
      <c r="F49" s="25"/>
      <c r="G49" s="26"/>
    </row>
    <row r="50" customFormat="false" ht="15.75" hidden="false" customHeight="true" outlineLevel="0" collapsed="false">
      <c r="B50" s="7"/>
      <c r="C50" s="7"/>
      <c r="D50" s="27"/>
      <c r="E50" s="27"/>
      <c r="F50" s="28"/>
      <c r="G50" s="24"/>
    </row>
    <row r="51" customFormat="false" ht="15.75" hidden="false" customHeight="true" outlineLevel="0" collapsed="false">
      <c r="B51" s="7"/>
      <c r="C51" s="21"/>
      <c r="D51" s="17"/>
      <c r="E51" s="18"/>
      <c r="F51" s="17"/>
      <c r="G51" s="18"/>
    </row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>
      <c r="A57" s="2"/>
      <c r="B57" s="2"/>
      <c r="C57" s="2"/>
      <c r="D57" s="3"/>
      <c r="E57" s="4"/>
      <c r="F57" s="5"/>
      <c r="G57" s="4"/>
    </row>
    <row r="58" customFormat="false" ht="15.75" hidden="false" customHeight="true" outlineLevel="0" collapsed="false"/>
    <row r="59" customFormat="false" ht="15.75" hidden="false" customHeight="true" outlineLevel="0" collapsed="false">
      <c r="B59" s="29"/>
      <c r="C59" s="29"/>
      <c r="D59" s="5"/>
      <c r="E59" s="4"/>
      <c r="F59" s="5"/>
      <c r="G59" s="4"/>
    </row>
    <row r="60" customFormat="false" ht="15.75" hidden="false" customHeight="true" outlineLevel="0" collapsed="false">
      <c r="B60" s="29"/>
      <c r="C60" s="29"/>
      <c r="D60" s="5"/>
      <c r="E60" s="4"/>
      <c r="F60" s="5"/>
      <c r="G60" s="4"/>
    </row>
    <row r="61" customFormat="false" ht="15.75" hidden="false" customHeight="true" outlineLevel="0" collapsed="false">
      <c r="A61" s="2"/>
      <c r="B61" s="2"/>
      <c r="C61" s="2"/>
      <c r="D61" s="3"/>
      <c r="E61" s="4"/>
      <c r="F61" s="5"/>
      <c r="G61" s="4"/>
    </row>
    <row r="62" customFormat="false" ht="15.75" hidden="false" customHeight="true" outlineLevel="0" collapsed="false">
      <c r="A62" s="6" t="n">
        <v>2020</v>
      </c>
      <c r="B62" s="2"/>
      <c r="C62" s="2"/>
      <c r="D62" s="3"/>
      <c r="E62" s="4"/>
      <c r="F62" s="5"/>
      <c r="G62" s="4"/>
    </row>
    <row r="63" customFormat="false" ht="15.75" hidden="false" customHeight="true" outlineLevel="0" collapsed="false">
      <c r="A63" s="7"/>
      <c r="B63" s="8" t="s">
        <v>0</v>
      </c>
      <c r="C63" s="9" t="s">
        <v>1</v>
      </c>
      <c r="D63" s="8" t="s">
        <v>2</v>
      </c>
      <c r="E63" s="10" t="s">
        <v>1</v>
      </c>
      <c r="F63" s="8" t="s">
        <v>3</v>
      </c>
      <c r="G63" s="10" t="s">
        <v>1</v>
      </c>
    </row>
    <row r="64" customFormat="false" ht="15.75" hidden="false" customHeight="true" outlineLevel="0" collapsed="false">
      <c r="A64" s="7"/>
      <c r="B64" s="11"/>
      <c r="C64" s="12"/>
      <c r="D64" s="17"/>
      <c r="E64" s="18"/>
      <c r="F64" s="17"/>
      <c r="G64" s="18"/>
    </row>
    <row r="65" customFormat="false" ht="15.75" hidden="false" customHeight="true" outlineLevel="0" collapsed="false">
      <c r="A65" s="2"/>
      <c r="B65" s="15"/>
      <c r="C65" s="16"/>
      <c r="D65" s="17"/>
      <c r="E65" s="18"/>
      <c r="F65" s="17"/>
      <c r="G65" s="18"/>
    </row>
    <row r="66" customFormat="false" ht="15.75" hidden="false" customHeight="true" outlineLevel="0" collapsed="false">
      <c r="A66" s="2"/>
      <c r="B66" s="15"/>
      <c r="C66" s="19"/>
      <c r="D66" s="17"/>
      <c r="E66" s="18"/>
      <c r="F66" s="7"/>
      <c r="G66" s="7"/>
      <c r="H66" s="20"/>
    </row>
    <row r="67" customFormat="false" ht="15.75" hidden="false" customHeight="true" outlineLevel="0" collapsed="false">
      <c r="A67" s="2"/>
      <c r="B67" s="15"/>
      <c r="C67" s="16"/>
      <c r="D67" s="17"/>
      <c r="E67" s="18"/>
      <c r="F67" s="17"/>
      <c r="G67" s="18"/>
      <c r="H67" s="20"/>
    </row>
    <row r="68" customFormat="false" ht="15.75" hidden="false" customHeight="true" outlineLevel="0" collapsed="false">
      <c r="A68" s="2"/>
      <c r="B68" s="15"/>
      <c r="C68" s="16"/>
      <c r="D68" s="17"/>
      <c r="E68" s="18"/>
      <c r="F68" s="17"/>
      <c r="G68" s="18"/>
      <c r="H68" s="20"/>
    </row>
    <row r="69" customFormat="false" ht="15.75" hidden="false" customHeight="true" outlineLevel="0" collapsed="false">
      <c r="A69" s="2"/>
      <c r="B69" s="15"/>
      <c r="C69" s="21"/>
      <c r="D69" s="17"/>
      <c r="E69" s="18"/>
      <c r="F69" s="17"/>
      <c r="G69" s="18"/>
    </row>
    <row r="70" customFormat="false" ht="15.75" hidden="false" customHeight="true" outlineLevel="0" collapsed="false">
      <c r="B70" s="22"/>
      <c r="C70" s="22"/>
      <c r="D70" s="23"/>
      <c r="E70" s="24"/>
      <c r="F70" s="25"/>
      <c r="G70" s="26"/>
    </row>
    <row r="71" customFormat="false" ht="15.75" hidden="false" customHeight="true" outlineLevel="0" collapsed="false">
      <c r="B71" s="7"/>
      <c r="C71" s="7"/>
      <c r="D71" s="27"/>
      <c r="E71" s="27"/>
      <c r="F71" s="28"/>
      <c r="G71" s="24"/>
    </row>
    <row r="72" customFormat="false" ht="15.75" hidden="false" customHeight="true" outlineLevel="0" collapsed="false">
      <c r="B72" s="7"/>
      <c r="C72" s="21"/>
      <c r="D72" s="17"/>
      <c r="E72" s="18"/>
      <c r="F72" s="17"/>
      <c r="G72" s="18"/>
    </row>
    <row r="73" customFormat="false" ht="15.75" hidden="false" customHeight="true" outlineLevel="0" collapsed="false">
      <c r="B73" s="29"/>
      <c r="C73" s="30"/>
      <c r="D73" s="5"/>
      <c r="E73" s="4"/>
      <c r="F73" s="5"/>
      <c r="G73" s="4"/>
      <c r="H73" s="29"/>
      <c r="I73" s="29"/>
    </row>
    <row r="74" customFormat="false" ht="15.75" hidden="false" customHeight="true" outlineLevel="0" collapsed="false">
      <c r="A74" s="31" t="s">
        <v>5</v>
      </c>
      <c r="B74" s="32"/>
      <c r="C74" s="32"/>
      <c r="D74" s="32"/>
      <c r="E74" s="32"/>
      <c r="F74" s="32"/>
      <c r="G74" s="32"/>
      <c r="H74" s="32"/>
      <c r="I74" s="29"/>
    </row>
    <row r="75" customFormat="false" ht="15.75" hidden="false" customHeight="true" outlineLevel="0" collapsed="false">
      <c r="A75" s="31" t="s">
        <v>6</v>
      </c>
      <c r="B75" s="20"/>
      <c r="C75" s="33"/>
      <c r="D75" s="34"/>
      <c r="E75" s="35"/>
      <c r="F75" s="34"/>
      <c r="G75" s="35"/>
      <c r="H75" s="20"/>
      <c r="I75" s="29"/>
    </row>
    <row r="76" customFormat="false" ht="15.75" hidden="false" customHeight="true" outlineLevel="0" collapsed="false">
      <c r="A76" s="31" t="s">
        <v>7</v>
      </c>
      <c r="B76" s="20"/>
      <c r="C76" s="33"/>
      <c r="D76" s="34"/>
      <c r="E76" s="35"/>
      <c r="F76" s="34"/>
      <c r="G76" s="35"/>
      <c r="H76" s="20"/>
      <c r="I76" s="29"/>
    </row>
    <row r="77" customFormat="false" ht="15.75" hidden="false" customHeight="true" outlineLevel="0" collapsed="false">
      <c r="B77" s="29"/>
      <c r="C77" s="30"/>
      <c r="D77" s="5"/>
      <c r="E77" s="4"/>
      <c r="F77" s="5"/>
      <c r="G77" s="4"/>
      <c r="H77" s="29"/>
      <c r="I77" s="29"/>
    </row>
    <row r="78" customFormat="false" ht="15.75" hidden="false" customHeight="true" outlineLevel="0" collapsed="false"/>
    <row r="79" customFormat="false" ht="15.75" hidden="false" customHeight="true" outlineLevel="0" collapsed="false">
      <c r="A79" s="12" t="s">
        <v>8</v>
      </c>
    </row>
    <row r="80" customFormat="false" ht="15.75" hidden="false" customHeight="true" outlineLevel="0" collapsed="false">
      <c r="A80" s="36" t="s">
        <v>9</v>
      </c>
      <c r="B80" s="37" t="s">
        <v>10</v>
      </c>
      <c r="C80" s="37" t="s">
        <v>11</v>
      </c>
      <c r="D80" s="37" t="s">
        <v>12</v>
      </c>
      <c r="E80" s="37" t="s">
        <v>13</v>
      </c>
    </row>
    <row r="81" customFormat="false" ht="15.75" hidden="false" customHeight="true" outlineLevel="0" collapsed="false">
      <c r="A81" s="15" t="n">
        <v>43831</v>
      </c>
      <c r="B81" s="38" t="n">
        <v>43951</v>
      </c>
      <c r="C81" s="39" t="n">
        <v>121</v>
      </c>
      <c r="D81" s="39" t="n">
        <v>25296</v>
      </c>
      <c r="E81" s="39" t="n">
        <v>209</v>
      </c>
    </row>
    <row r="82" customFormat="false" ht="15.75" hidden="false" customHeight="true" outlineLevel="0" collapsed="false">
      <c r="A82" s="12" t="s">
        <v>14</v>
      </c>
      <c r="B82" s="40"/>
      <c r="C82" s="40"/>
      <c r="D82" s="40"/>
      <c r="E82" s="40"/>
    </row>
    <row r="83" customFormat="false" ht="15.75" hidden="false" customHeight="true" outlineLevel="0" collapsed="false">
      <c r="A83" s="36" t="s">
        <v>9</v>
      </c>
      <c r="B83" s="37" t="s">
        <v>10</v>
      </c>
      <c r="C83" s="37" t="s">
        <v>11</v>
      </c>
      <c r="D83" s="37" t="s">
        <v>12</v>
      </c>
      <c r="E83" s="37" t="s">
        <v>13</v>
      </c>
    </row>
    <row r="84" customFormat="false" ht="15.75" hidden="false" customHeight="true" outlineLevel="0" collapsed="false">
      <c r="A84" s="15" t="n">
        <v>43952</v>
      </c>
      <c r="B84" s="38" t="n">
        <v>44074</v>
      </c>
      <c r="C84" s="39" t="n">
        <v>96</v>
      </c>
      <c r="D84" s="39" t="n">
        <v>19943</v>
      </c>
      <c r="E84" s="39" t="n">
        <v>208</v>
      </c>
      <c r="J84" s="29"/>
    </row>
    <row r="85" customFormat="false" ht="15.75" hidden="false" customHeight="true" outlineLevel="0" collapsed="false">
      <c r="A85" s="12" t="s">
        <v>15</v>
      </c>
      <c r="B85" s="40"/>
      <c r="C85" s="40"/>
      <c r="D85" s="40"/>
      <c r="E85" s="40"/>
      <c r="J85" s="29"/>
    </row>
    <row r="86" customFormat="false" ht="15.75" hidden="false" customHeight="true" outlineLevel="0" collapsed="false">
      <c r="A86" s="36" t="s">
        <v>9</v>
      </c>
      <c r="B86" s="37" t="s">
        <v>10</v>
      </c>
      <c r="C86" s="37" t="s">
        <v>11</v>
      </c>
      <c r="D86" s="37" t="s">
        <v>12</v>
      </c>
      <c r="E86" s="37" t="s">
        <v>13</v>
      </c>
      <c r="J86" s="29"/>
    </row>
    <row r="87" customFormat="false" ht="15.75" hidden="false" customHeight="true" outlineLevel="0" collapsed="false">
      <c r="A87" s="15" t="n">
        <v>44075</v>
      </c>
      <c r="B87" s="38" t="n">
        <v>44196</v>
      </c>
      <c r="C87" s="39" t="n">
        <v>122</v>
      </c>
      <c r="D87" s="39" t="n">
        <v>25674</v>
      </c>
      <c r="E87" s="39" t="n">
        <v>210</v>
      </c>
      <c r="J87" s="29"/>
    </row>
    <row r="88" customFormat="false" ht="15.75" hidden="false" customHeight="true" outlineLevel="0" collapsed="false">
      <c r="A88" s="12" t="s">
        <v>16</v>
      </c>
      <c r="B88" s="40"/>
      <c r="C88" s="40"/>
      <c r="D88" s="40"/>
      <c r="E88" s="40"/>
      <c r="J88" s="29"/>
    </row>
    <row r="89" customFormat="false" ht="15.75" hidden="false" customHeight="true" outlineLevel="0" collapsed="false">
      <c r="A89" s="36" t="s">
        <v>9</v>
      </c>
      <c r="B89" s="37" t="s">
        <v>10</v>
      </c>
      <c r="C89" s="37" t="s">
        <v>11</v>
      </c>
      <c r="D89" s="37" t="s">
        <v>12</v>
      </c>
      <c r="E89" s="37" t="s">
        <v>13</v>
      </c>
    </row>
    <row r="90" customFormat="false" ht="15.75" hidden="false" customHeight="true" outlineLevel="0" collapsed="false">
      <c r="A90" s="15" t="n">
        <v>43831</v>
      </c>
      <c r="B90" s="38" t="n">
        <v>44196</v>
      </c>
      <c r="C90" s="39" t="n">
        <v>339</v>
      </c>
      <c r="D90" s="39" t="n">
        <v>70913</v>
      </c>
      <c r="E90" s="39" t="n">
        <v>209</v>
      </c>
    </row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>
      <c r="A94" s="6" t="n">
        <v>2021</v>
      </c>
    </row>
    <row r="95" customFormat="false" ht="15.75" hidden="false" customHeight="true" outlineLevel="0" collapsed="false">
      <c r="A95" s="41"/>
      <c r="B95" s="42" t="s">
        <v>0</v>
      </c>
      <c r="C95" s="43" t="s">
        <v>1</v>
      </c>
      <c r="D95" s="42" t="s">
        <v>2</v>
      </c>
      <c r="E95" s="44" t="s">
        <v>1</v>
      </c>
      <c r="F95" s="42" t="s">
        <v>3</v>
      </c>
      <c r="G95" s="44" t="s">
        <v>1</v>
      </c>
    </row>
    <row r="96" customFormat="false" ht="15.75" hidden="false" customHeight="true" outlineLevel="0" collapsed="false">
      <c r="A96" s="7"/>
      <c r="B96" s="36"/>
      <c r="C96" s="36"/>
      <c r="D96" s="28"/>
      <c r="E96" s="24"/>
      <c r="F96" s="45"/>
      <c r="G96" s="45"/>
      <c r="H96" s="32"/>
      <c r="I96" s="20"/>
    </row>
    <row r="97" customFormat="false" ht="15.75" hidden="false" customHeight="true" outlineLevel="0" collapsed="false">
      <c r="A97" s="7"/>
      <c r="B97" s="36"/>
      <c r="C97" s="36"/>
      <c r="D97" s="45"/>
      <c r="E97" s="45"/>
      <c r="F97" s="28"/>
      <c r="G97" s="24"/>
      <c r="H97" s="32"/>
      <c r="I97" s="32"/>
    </row>
    <row r="98" customFormat="false" ht="15.75" hidden="false" customHeight="true" outlineLevel="0" collapsed="false">
      <c r="A98" s="7"/>
      <c r="B98" s="36"/>
      <c r="C98" s="36"/>
      <c r="D98" s="17"/>
      <c r="E98" s="18"/>
      <c r="F98" s="17"/>
      <c r="G98" s="18"/>
      <c r="H98" s="29"/>
    </row>
    <row r="99" customFormat="false" ht="15.75" hidden="false" customHeight="true" outlineLevel="0" collapsed="false">
      <c r="A99" s="7"/>
      <c r="B99" s="36"/>
      <c r="C99" s="36"/>
      <c r="D99" s="17"/>
      <c r="E99" s="18"/>
      <c r="F99" s="17"/>
      <c r="G99" s="18"/>
      <c r="H99" s="29"/>
    </row>
    <row r="100" customFormat="false" ht="15.75" hidden="false" customHeight="true" outlineLevel="0" collapsed="false">
      <c r="A100" s="7"/>
      <c r="B100" s="36"/>
      <c r="C100" s="36"/>
      <c r="D100" s="17"/>
      <c r="E100" s="18"/>
      <c r="F100" s="17"/>
      <c r="G100" s="18"/>
      <c r="H100" s="29"/>
    </row>
    <row r="101" customFormat="false" ht="15.75" hidden="false" customHeight="true" outlineLevel="0" collapsed="false">
      <c r="A101" s="7"/>
      <c r="B101" s="36"/>
      <c r="C101" s="36"/>
      <c r="D101" s="17"/>
      <c r="E101" s="18"/>
      <c r="F101" s="17"/>
      <c r="G101" s="18"/>
      <c r="H101" s="29"/>
    </row>
    <row r="102" customFormat="false" ht="15.75" hidden="false" customHeight="true" outlineLevel="0" collapsed="false">
      <c r="A102" s="7"/>
      <c r="B102" s="36"/>
      <c r="C102" s="36"/>
      <c r="D102" s="17"/>
      <c r="E102" s="18"/>
      <c r="F102" s="17"/>
      <c r="G102" s="18"/>
      <c r="H102" s="29"/>
    </row>
    <row r="103" customFormat="false" ht="15.75" hidden="false" customHeight="true" outlineLevel="0" collapsed="false">
      <c r="A103" s="7"/>
      <c r="B103" s="36"/>
      <c r="C103" s="36"/>
      <c r="D103" s="17"/>
      <c r="E103" s="18"/>
      <c r="F103" s="17"/>
      <c r="G103" s="18"/>
      <c r="H103" s="29"/>
    </row>
    <row r="104" customFormat="false" ht="15.75" hidden="false" customHeight="true" outlineLevel="0" collapsed="false">
      <c r="A104" s="7"/>
      <c r="B104" s="36"/>
      <c r="C104" s="36"/>
      <c r="D104" s="17"/>
      <c r="E104" s="18"/>
      <c r="F104" s="17"/>
      <c r="G104" s="18"/>
      <c r="H104" s="29"/>
    </row>
    <row r="105" customFormat="false" ht="15.75" hidden="false" customHeight="true" outlineLevel="0" collapsed="false">
      <c r="A105" s="7"/>
      <c r="B105" s="36"/>
      <c r="C105" s="36"/>
      <c r="D105" s="17"/>
      <c r="E105" s="18"/>
      <c r="F105" s="17"/>
      <c r="G105" s="18"/>
      <c r="H105" s="29"/>
    </row>
    <row r="106" customFormat="false" ht="15.75" hidden="false" customHeight="true" outlineLevel="0" collapsed="false"/>
    <row r="107" customFormat="false" ht="15.75" hidden="false" customHeight="true" outlineLevel="0" collapsed="false">
      <c r="B107" s="29" t="s">
        <v>17</v>
      </c>
      <c r="J107" s="20"/>
      <c r="K107" s="20"/>
      <c r="L107" s="20"/>
      <c r="M107" s="20"/>
    </row>
    <row r="108" customFormat="false" ht="15.75" hidden="false" customHeight="true" outlineLevel="0" collapsed="false">
      <c r="J108" s="32"/>
      <c r="K108" s="20"/>
      <c r="L108" s="20"/>
      <c r="M108" s="20"/>
    </row>
    <row r="109" customFormat="false" ht="15.75" hidden="false" customHeight="true" outlineLevel="0" collapsed="false">
      <c r="A109" s="31" t="s">
        <v>18</v>
      </c>
      <c r="B109" s="32"/>
      <c r="C109" s="32"/>
    </row>
    <row r="110" customFormat="false" ht="15.75" hidden="false" customHeight="true" outlineLevel="0" collapsed="false">
      <c r="A110" s="31" t="s">
        <v>19</v>
      </c>
      <c r="B110" s="32"/>
      <c r="C110" s="32"/>
      <c r="D110" s="32"/>
      <c r="E110" s="32"/>
      <c r="F110" s="32"/>
      <c r="G110" s="32"/>
      <c r="H110" s="32"/>
      <c r="I110" s="31"/>
    </row>
    <row r="111" customFormat="false" ht="15.75" hidden="false" customHeight="true" outlineLevel="0" collapsed="false">
      <c r="A111" s="31" t="s">
        <v>20</v>
      </c>
      <c r="B111" s="32"/>
      <c r="C111" s="32"/>
      <c r="D111" s="32"/>
      <c r="E111" s="32"/>
      <c r="F111" s="32"/>
      <c r="G111" s="32"/>
      <c r="H111" s="32"/>
      <c r="I111" s="31"/>
    </row>
    <row r="112" customFormat="false" ht="15.75" hidden="false" customHeight="true" outlineLevel="0" collapsed="false">
      <c r="A112" s="31" t="s">
        <v>21</v>
      </c>
      <c r="B112" s="32"/>
      <c r="C112" s="32"/>
      <c r="D112" s="32"/>
      <c r="E112" s="32"/>
      <c r="F112" s="32"/>
      <c r="G112" s="32"/>
      <c r="H112" s="32"/>
      <c r="I112" s="31"/>
    </row>
    <row r="113" customFormat="false" ht="15.75" hidden="false" customHeight="true" outlineLevel="0" collapsed="false">
      <c r="A113" s="46" t="s">
        <v>22</v>
      </c>
      <c r="B113" s="47"/>
      <c r="C113" s="47"/>
    </row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>
      <c r="A116" s="12" t="s">
        <v>23</v>
      </c>
      <c r="G116" s="29" t="s">
        <v>24</v>
      </c>
    </row>
    <row r="117" customFormat="false" ht="15.75" hidden="false" customHeight="true" outlineLevel="0" collapsed="false">
      <c r="A117" s="36" t="s">
        <v>9</v>
      </c>
      <c r="B117" s="37" t="s">
        <v>10</v>
      </c>
      <c r="C117" s="37" t="s">
        <v>11</v>
      </c>
      <c r="D117" s="37" t="s">
        <v>12</v>
      </c>
      <c r="E117" s="37" t="s">
        <v>13</v>
      </c>
      <c r="G117" s="37" t="s">
        <v>25</v>
      </c>
      <c r="H117" s="37" t="s">
        <v>26</v>
      </c>
      <c r="I117" s="37" t="s">
        <v>27</v>
      </c>
    </row>
    <row r="118" customFormat="false" ht="15.75" hidden="false" customHeight="true" outlineLevel="0" collapsed="false">
      <c r="A118" s="15" t="n">
        <v>44231</v>
      </c>
      <c r="B118" s="38" t="n">
        <v>44316</v>
      </c>
      <c r="C118" s="39" t="n">
        <v>79</v>
      </c>
      <c r="D118" s="39" t="n">
        <v>16022</v>
      </c>
      <c r="E118" s="48" t="n">
        <f aca="false">D118/C118</f>
        <v>202.8101266</v>
      </c>
      <c r="G118" s="7" t="n">
        <v>25.5</v>
      </c>
      <c r="H118" s="7" t="n">
        <v>31</v>
      </c>
      <c r="I118" s="7" t="n">
        <v>30</v>
      </c>
    </row>
    <row r="119" customFormat="false" ht="15.75" hidden="false" customHeight="true" outlineLevel="0" collapsed="false">
      <c r="A119" s="12" t="s">
        <v>28</v>
      </c>
      <c r="B119" s="40"/>
      <c r="C119" s="40"/>
      <c r="D119" s="40"/>
      <c r="E119" s="40"/>
      <c r="G119" s="7"/>
      <c r="H119" s="7"/>
      <c r="I119" s="7"/>
    </row>
    <row r="120" customFormat="false" ht="15.75" hidden="false" customHeight="true" outlineLevel="0" collapsed="false">
      <c r="A120" s="36" t="s">
        <v>9</v>
      </c>
      <c r="B120" s="37" t="s">
        <v>10</v>
      </c>
      <c r="C120" s="37" t="s">
        <v>11</v>
      </c>
      <c r="D120" s="37" t="s">
        <v>12</v>
      </c>
      <c r="E120" s="37" t="s">
        <v>13</v>
      </c>
      <c r="G120" s="37" t="s">
        <v>29</v>
      </c>
      <c r="H120" s="37" t="s">
        <v>30</v>
      </c>
      <c r="I120" s="37" t="s">
        <v>31</v>
      </c>
    </row>
    <row r="121" customFormat="false" ht="15.75" hidden="false" customHeight="true" outlineLevel="0" collapsed="false">
      <c r="A121" s="15" t="n">
        <v>44317</v>
      </c>
      <c r="B121" s="38" t="n">
        <v>44439</v>
      </c>
      <c r="C121" s="39" t="n">
        <v>113.5</v>
      </c>
      <c r="D121" s="39" t="n">
        <v>23601</v>
      </c>
      <c r="E121" s="48" t="n">
        <f aca="false">D121/C121</f>
        <v>207.938326</v>
      </c>
      <c r="G121" s="39" t="n">
        <v>31</v>
      </c>
      <c r="H121" s="39" t="n">
        <v>30</v>
      </c>
      <c r="I121" s="39" t="n">
        <v>31</v>
      </c>
      <c r="J121" s="31"/>
      <c r="K121" s="31"/>
      <c r="L121" s="31"/>
      <c r="M121" s="31"/>
      <c r="N121" s="31"/>
      <c r="O121" s="31"/>
      <c r="P121" s="31"/>
      <c r="Q121" s="31"/>
    </row>
    <row r="122" customFormat="false" ht="15.75" hidden="false" customHeight="true" outlineLevel="0" collapsed="false">
      <c r="A122" s="12" t="s">
        <v>32</v>
      </c>
      <c r="B122" s="40"/>
      <c r="C122" s="40"/>
      <c r="D122" s="40"/>
      <c r="E122" s="40"/>
      <c r="G122" s="7"/>
      <c r="H122" s="7"/>
      <c r="I122" s="7"/>
      <c r="J122" s="31"/>
      <c r="K122" s="31"/>
      <c r="L122" s="31"/>
      <c r="M122" s="31"/>
      <c r="N122" s="31"/>
      <c r="O122" s="31"/>
      <c r="P122" s="31"/>
      <c r="Q122" s="31"/>
    </row>
    <row r="123" customFormat="false" ht="15.75" hidden="false" customHeight="true" outlineLevel="0" collapsed="false">
      <c r="A123" s="36" t="s">
        <v>9</v>
      </c>
      <c r="B123" s="37" t="s">
        <v>10</v>
      </c>
      <c r="C123" s="37" t="s">
        <v>11</v>
      </c>
      <c r="D123" s="37" t="s">
        <v>12</v>
      </c>
      <c r="E123" s="37" t="s">
        <v>13</v>
      </c>
      <c r="G123" s="37" t="s">
        <v>33</v>
      </c>
      <c r="H123" s="37" t="s">
        <v>34</v>
      </c>
      <c r="I123" s="37" t="s">
        <v>35</v>
      </c>
      <c r="J123" s="31"/>
      <c r="K123" s="31"/>
      <c r="L123" s="31"/>
      <c r="M123" s="31"/>
      <c r="N123" s="31"/>
      <c r="O123" s="31"/>
      <c r="P123" s="31"/>
      <c r="Q123" s="31"/>
    </row>
    <row r="124" customFormat="false" ht="15.75" hidden="false" customHeight="true" outlineLevel="0" collapsed="false">
      <c r="A124" s="15" t="n">
        <v>44440</v>
      </c>
      <c r="B124" s="38" t="n">
        <v>44561</v>
      </c>
      <c r="C124" s="39" t="n">
        <v>121</v>
      </c>
      <c r="D124" s="39" t="n">
        <v>25351</v>
      </c>
      <c r="E124" s="48" t="n">
        <f aca="false">D124/C124</f>
        <v>209.5123967</v>
      </c>
      <c r="G124" s="39" t="n">
        <v>30</v>
      </c>
      <c r="H124" s="39" t="n">
        <v>31</v>
      </c>
      <c r="I124" s="39" t="n">
        <v>29</v>
      </c>
    </row>
    <row r="125" customFormat="false" ht="15.75" hidden="false" customHeight="true" outlineLevel="0" collapsed="false">
      <c r="A125" s="12" t="s">
        <v>36</v>
      </c>
      <c r="B125" s="40"/>
      <c r="C125" s="40"/>
      <c r="D125" s="40"/>
      <c r="E125" s="40"/>
    </row>
    <row r="126" customFormat="false" ht="15.75" hidden="false" customHeight="true" outlineLevel="0" collapsed="false">
      <c r="A126" s="36" t="s">
        <v>9</v>
      </c>
      <c r="B126" s="37" t="s">
        <v>10</v>
      </c>
      <c r="C126" s="37" t="s">
        <v>11</v>
      </c>
      <c r="D126" s="37" t="s">
        <v>12</v>
      </c>
      <c r="E126" s="37" t="s">
        <v>13</v>
      </c>
    </row>
    <row r="127" customFormat="false" ht="15.75" hidden="false" customHeight="true" outlineLevel="0" collapsed="false">
      <c r="A127" s="15" t="n">
        <v>44197</v>
      </c>
      <c r="B127" s="38" t="n">
        <v>44561</v>
      </c>
      <c r="C127" s="39" t="n">
        <f aca="false">C118+C121+C124</f>
        <v>313.5</v>
      </c>
      <c r="D127" s="39" t="n">
        <f aca="false">D118+D121+D124</f>
        <v>64974</v>
      </c>
      <c r="E127" s="48" t="n">
        <f aca="false">D127/C127</f>
        <v>207.2535885</v>
      </c>
    </row>
    <row r="128" customFormat="false" ht="15.75" hidden="false" customHeight="true" outlineLevel="0" collapsed="false">
      <c r="J128" s="7"/>
      <c r="K128" s="7"/>
      <c r="L128" s="7"/>
      <c r="M128" s="7"/>
      <c r="N128" s="7"/>
    </row>
    <row r="129" customFormat="false" ht="15.75" hidden="false" customHeight="true" outlineLevel="0" collapsed="false">
      <c r="J129" s="7" t="n">
        <v>-1</v>
      </c>
      <c r="K129" s="7" t="n">
        <v>-1.5</v>
      </c>
      <c r="L129" s="7" t="n">
        <v>-1</v>
      </c>
      <c r="M129" s="7" t="n">
        <v>-2.5</v>
      </c>
      <c r="N129" s="7" t="n">
        <v>-1.5</v>
      </c>
    </row>
    <row r="130" customFormat="false" ht="15.75" hidden="false" customHeight="true" outlineLevel="0" collapsed="false">
      <c r="J130" s="7"/>
      <c r="K130" s="7"/>
      <c r="L130" s="7"/>
      <c r="M130" s="7"/>
      <c r="N130" s="7"/>
    </row>
    <row r="131" customFormat="false" ht="15.75" hidden="false" customHeight="true" outlineLevel="0" collapsed="false">
      <c r="A131" s="49" t="n">
        <v>2022</v>
      </c>
      <c r="J131" s="7"/>
      <c r="K131" s="7"/>
      <c r="L131" s="37" t="s">
        <v>37</v>
      </c>
      <c r="M131" s="7"/>
      <c r="N131" s="7"/>
    </row>
    <row r="132" customFormat="false" ht="15.75" hidden="false" customHeight="true" outlineLevel="0" collapsed="false">
      <c r="A132" s="7"/>
      <c r="B132" s="36" t="s">
        <v>0</v>
      </c>
      <c r="C132" s="36" t="s">
        <v>1</v>
      </c>
      <c r="D132" s="36" t="s">
        <v>2</v>
      </c>
      <c r="E132" s="36" t="s">
        <v>1</v>
      </c>
      <c r="F132" s="36" t="s">
        <v>3</v>
      </c>
      <c r="G132" s="36" t="s">
        <v>1</v>
      </c>
      <c r="J132" s="39" t="n">
        <v>-1.5</v>
      </c>
      <c r="K132" s="39" t="n">
        <v>-8</v>
      </c>
      <c r="L132" s="39" t="n">
        <v>31</v>
      </c>
      <c r="M132" s="7"/>
      <c r="N132" s="7"/>
    </row>
    <row r="133" customFormat="false" ht="15.75" hidden="false" customHeight="true" outlineLevel="0" collapsed="false">
      <c r="A133" s="7" t="s">
        <v>4</v>
      </c>
      <c r="B133" s="7"/>
      <c r="C133" s="7"/>
      <c r="D133" s="17" t="n">
        <v>44596</v>
      </c>
      <c r="E133" s="18" t="n">
        <v>0.530555555555556</v>
      </c>
      <c r="F133" s="17" t="n">
        <v>44600</v>
      </c>
      <c r="G133" s="18" t="n">
        <v>0.653472222222222</v>
      </c>
      <c r="H133" s="29" t="s">
        <v>38</v>
      </c>
      <c r="J133" s="7"/>
      <c r="K133" s="7"/>
      <c r="L133" s="7"/>
      <c r="M133" s="7"/>
      <c r="N133" s="7"/>
    </row>
    <row r="134" customFormat="false" ht="15.75" hidden="false" customHeight="true" outlineLevel="0" collapsed="false">
      <c r="A134" s="7" t="s">
        <v>4</v>
      </c>
      <c r="B134" s="7"/>
      <c r="C134" s="7"/>
      <c r="D134" s="17" t="n">
        <v>44605</v>
      </c>
      <c r="E134" s="18" t="n">
        <v>0.539583333333333</v>
      </c>
      <c r="F134" s="17" t="n">
        <v>44623</v>
      </c>
      <c r="G134" s="18" t="n">
        <v>0.539583333333333</v>
      </c>
      <c r="J134" s="37" t="s">
        <v>39</v>
      </c>
      <c r="K134" s="7"/>
      <c r="L134" s="7"/>
      <c r="M134" s="7"/>
      <c r="N134" s="7"/>
    </row>
    <row r="135" customFormat="false" ht="15.75" hidden="false" customHeight="true" outlineLevel="0" collapsed="false">
      <c r="A135" s="7" t="s">
        <v>4</v>
      </c>
      <c r="B135" s="7"/>
      <c r="C135" s="7"/>
      <c r="D135" s="17" t="n">
        <v>44634</v>
      </c>
      <c r="E135" s="18" t="n">
        <v>0.5</v>
      </c>
      <c r="F135" s="17" t="n">
        <v>44635</v>
      </c>
      <c r="G135" s="18" t="n">
        <v>0.427083333333333</v>
      </c>
      <c r="J135" s="39" t="n">
        <v>31</v>
      </c>
      <c r="K135" s="7"/>
      <c r="L135" s="7"/>
      <c r="M135" s="7"/>
      <c r="N135" s="7"/>
    </row>
    <row r="136" customFormat="false" ht="15.75" hidden="false" customHeight="true" outlineLevel="0" collapsed="false">
      <c r="A136" s="7" t="s">
        <v>4</v>
      </c>
      <c r="B136" s="7"/>
      <c r="C136" s="7"/>
      <c r="D136" s="17" t="n">
        <v>44656</v>
      </c>
      <c r="E136" s="18" t="n">
        <v>0.504166666666667</v>
      </c>
      <c r="F136" s="17" t="n">
        <v>44659</v>
      </c>
      <c r="G136" s="18" t="n">
        <v>0.430555555555556</v>
      </c>
      <c r="H136" s="29" t="s">
        <v>40</v>
      </c>
    </row>
    <row r="137" customFormat="false" ht="15.75" hidden="false" customHeight="true" outlineLevel="0" collapsed="false">
      <c r="A137" s="7" t="s">
        <v>4</v>
      </c>
      <c r="B137" s="7"/>
      <c r="C137" s="7"/>
      <c r="D137" s="17" t="n">
        <v>44717</v>
      </c>
      <c r="E137" s="18" t="n">
        <v>0.292361111111111</v>
      </c>
      <c r="F137" s="17" t="n">
        <v>44720</v>
      </c>
      <c r="G137" s="18" t="n">
        <v>0.522916666666667</v>
      </c>
      <c r="H137" s="29" t="s">
        <v>41</v>
      </c>
    </row>
    <row r="138" customFormat="false" ht="15.75" hidden="false" customHeight="true" outlineLevel="0" collapsed="false">
      <c r="A138" s="7" t="s">
        <v>4</v>
      </c>
      <c r="B138" s="7"/>
      <c r="C138" s="7"/>
      <c r="D138" s="17" t="n">
        <v>44741</v>
      </c>
      <c r="E138" s="18" t="n">
        <v>0.724305555555556</v>
      </c>
      <c r="F138" s="17" t="n">
        <v>44748</v>
      </c>
      <c r="G138" s="18" t="n">
        <v>0.446527777777778</v>
      </c>
    </row>
    <row r="139" customFormat="false" ht="15.75" hidden="false" customHeight="true" outlineLevel="0" collapsed="false">
      <c r="A139" s="7" t="s">
        <v>4</v>
      </c>
      <c r="B139" s="7"/>
      <c r="C139" s="7"/>
      <c r="D139" s="17" t="n">
        <v>44765</v>
      </c>
      <c r="E139" s="18" t="n">
        <v>0.984722222222222</v>
      </c>
      <c r="F139" s="17" t="n">
        <v>44768</v>
      </c>
      <c r="G139" s="18" t="n">
        <v>0.401388888888889</v>
      </c>
      <c r="H139" s="29" t="s">
        <v>40</v>
      </c>
    </row>
    <row r="140" customFormat="false" ht="15.75" hidden="false" customHeight="true" outlineLevel="0" collapsed="false">
      <c r="A140" s="7" t="s">
        <v>4</v>
      </c>
      <c r="B140" s="7"/>
      <c r="C140" s="7"/>
      <c r="D140" s="17" t="n">
        <v>44871</v>
      </c>
      <c r="E140" s="18" t="n">
        <v>0.286111111111111</v>
      </c>
      <c r="F140" s="17" t="n">
        <v>44873</v>
      </c>
      <c r="G140" s="18" t="n">
        <v>0.685416666666667</v>
      </c>
      <c r="H140" s="29" t="s">
        <v>40</v>
      </c>
    </row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>
      <c r="A144" s="12" t="s">
        <v>42</v>
      </c>
      <c r="B144" s="29"/>
      <c r="C144" s="29"/>
      <c r="D144" s="29"/>
      <c r="E144" s="29"/>
      <c r="G144" s="29" t="s">
        <v>43</v>
      </c>
    </row>
    <row r="145" customFormat="false" ht="15.75" hidden="false" customHeight="true" outlineLevel="0" collapsed="false">
      <c r="A145" s="36" t="s">
        <v>9</v>
      </c>
      <c r="B145" s="37" t="s">
        <v>10</v>
      </c>
      <c r="C145" s="37" t="s">
        <v>11</v>
      </c>
      <c r="D145" s="37" t="s">
        <v>12</v>
      </c>
      <c r="E145" s="37" t="s">
        <v>13</v>
      </c>
      <c r="G145" s="37" t="s">
        <v>44</v>
      </c>
      <c r="H145" s="37" t="s">
        <v>25</v>
      </c>
      <c r="I145" s="37" t="s">
        <v>26</v>
      </c>
    </row>
    <row r="146" customFormat="false" ht="15.75" hidden="false" customHeight="true" outlineLevel="0" collapsed="false">
      <c r="A146" s="15" t="n">
        <v>44562</v>
      </c>
      <c r="B146" s="38" t="n">
        <v>44742</v>
      </c>
      <c r="C146" s="39" t="n">
        <v>150</v>
      </c>
      <c r="D146" s="39" t="n">
        <v>31314</v>
      </c>
      <c r="E146" s="48" t="n">
        <f aca="false">D146/C146</f>
        <v>208.76</v>
      </c>
      <c r="G146" s="39" t="n">
        <v>31</v>
      </c>
      <c r="H146" s="39" t="n">
        <v>28</v>
      </c>
      <c r="I146" s="39" t="n">
        <v>31</v>
      </c>
    </row>
    <row r="147" customFormat="false" ht="15.75" hidden="false" customHeight="true" outlineLevel="0" collapsed="false">
      <c r="A147" s="12" t="s">
        <v>45</v>
      </c>
      <c r="B147" s="40"/>
      <c r="C147" s="40"/>
      <c r="D147" s="40"/>
      <c r="E147" s="40"/>
      <c r="G147" s="39"/>
      <c r="H147" s="39" t="n">
        <v>-4</v>
      </c>
      <c r="I147" s="39" t="n">
        <v>-1</v>
      </c>
    </row>
    <row r="148" customFormat="false" ht="15.75" hidden="false" customHeight="true" outlineLevel="0" collapsed="false">
      <c r="A148" s="36" t="s">
        <v>9</v>
      </c>
      <c r="B148" s="37" t="s">
        <v>10</v>
      </c>
      <c r="C148" s="37" t="s">
        <v>11</v>
      </c>
      <c r="D148" s="37" t="s">
        <v>12</v>
      </c>
      <c r="E148" s="37" t="s">
        <v>13</v>
      </c>
      <c r="G148" s="39"/>
      <c r="H148" s="39" t="n">
        <v>-15.5</v>
      </c>
      <c r="I148" s="39" t="n">
        <v>-2.5</v>
      </c>
    </row>
    <row r="149" customFormat="false" ht="15.75" hidden="false" customHeight="true" outlineLevel="0" collapsed="false">
      <c r="A149" s="15" t="n">
        <v>44743</v>
      </c>
      <c r="B149" s="38" t="n">
        <v>44926</v>
      </c>
      <c r="C149" s="39" t="n">
        <v>173.5</v>
      </c>
      <c r="D149" s="39" t="n">
        <v>36130</v>
      </c>
      <c r="E149" s="48" t="n">
        <f aca="false">D149/C149</f>
        <v>208.2420749</v>
      </c>
      <c r="G149" s="50" t="n">
        <f aca="false">G146+G147+G148</f>
        <v>31</v>
      </c>
      <c r="H149" s="50" t="n">
        <f aca="false">H146+H147+H148</f>
        <v>8.5</v>
      </c>
      <c r="I149" s="50" t="n">
        <f aca="false">I146+I147+I148</f>
        <v>27.5</v>
      </c>
    </row>
    <row r="150" customFormat="false" ht="15.75" hidden="false" customHeight="true" outlineLevel="0" collapsed="false">
      <c r="A150" s="12" t="s">
        <v>46</v>
      </c>
      <c r="B150" s="40"/>
      <c r="C150" s="40"/>
      <c r="D150" s="40"/>
      <c r="E150" s="40"/>
      <c r="G150" s="40"/>
      <c r="H150" s="40"/>
      <c r="I150" s="40"/>
    </row>
    <row r="151" customFormat="false" ht="15.75" hidden="false" customHeight="true" outlineLevel="0" collapsed="false">
      <c r="A151" s="36" t="s">
        <v>9</v>
      </c>
      <c r="B151" s="37" t="s">
        <v>10</v>
      </c>
      <c r="C151" s="37" t="s">
        <v>11</v>
      </c>
      <c r="D151" s="37" t="s">
        <v>12</v>
      </c>
      <c r="E151" s="37" t="s">
        <v>13</v>
      </c>
      <c r="G151" s="37" t="s">
        <v>31</v>
      </c>
      <c r="H151" s="37" t="s">
        <v>37</v>
      </c>
      <c r="I151" s="37" t="s">
        <v>33</v>
      </c>
    </row>
    <row r="152" customFormat="false" ht="15.75" hidden="false" customHeight="true" outlineLevel="0" collapsed="false">
      <c r="A152" s="15" t="n">
        <v>44562</v>
      </c>
      <c r="B152" s="38" t="n">
        <v>44926</v>
      </c>
      <c r="C152" s="39" t="n">
        <f aca="false">C146+C149</f>
        <v>323.5</v>
      </c>
      <c r="D152" s="39" t="n">
        <f aca="false">D146+D149</f>
        <v>67444</v>
      </c>
      <c r="E152" s="48" t="n">
        <f aca="false">D152/C152</f>
        <v>208.4822257</v>
      </c>
      <c r="G152" s="39" t="n">
        <v>31</v>
      </c>
      <c r="H152" s="39" t="n">
        <v>31</v>
      </c>
      <c r="I152" s="39" t="n">
        <v>30</v>
      </c>
    </row>
    <row r="153" customFormat="false" ht="15.75" hidden="false" customHeight="true" outlineLevel="0" collapsed="false">
      <c r="G153" s="39" t="n">
        <v>-5.5</v>
      </c>
      <c r="H153" s="39"/>
      <c r="I153" s="39"/>
    </row>
    <row r="154" customFormat="false" ht="15.75" hidden="false" customHeight="true" outlineLevel="0" collapsed="false">
      <c r="G154" s="39" t="n">
        <v>-2.5</v>
      </c>
      <c r="H154" s="39"/>
      <c r="I154" s="39"/>
    </row>
    <row r="155" customFormat="false" ht="15.75" hidden="false" customHeight="true" outlineLevel="0" collapsed="false">
      <c r="G155" s="50" t="n">
        <f aca="false">G152+G153+G154</f>
        <v>23</v>
      </c>
      <c r="H155" s="50" t="n">
        <f aca="false">H152+H153+H154</f>
        <v>31</v>
      </c>
      <c r="I155" s="50" t="n">
        <f aca="false">I152+I153+I154</f>
        <v>30</v>
      </c>
    </row>
    <row r="156" customFormat="false" ht="15.75" hidden="false" customHeight="true" outlineLevel="0" collapsed="false">
      <c r="J156" s="37" t="s">
        <v>27</v>
      </c>
      <c r="K156" s="37" t="s">
        <v>29</v>
      </c>
      <c r="L156" s="37" t="s">
        <v>30</v>
      </c>
    </row>
    <row r="157" customFormat="false" ht="15.75" hidden="false" customHeight="true" outlineLevel="0" collapsed="false">
      <c r="J157" s="39" t="n">
        <v>30</v>
      </c>
      <c r="K157" s="39" t="n">
        <v>31</v>
      </c>
      <c r="L157" s="39" t="n">
        <v>30</v>
      </c>
    </row>
    <row r="158" customFormat="false" ht="15.75" hidden="false" customHeight="true" outlineLevel="0" collapsed="false">
      <c r="J158" s="39" t="n">
        <v>-4</v>
      </c>
      <c r="K158" s="39"/>
      <c r="L158" s="39" t="n">
        <v>-3</v>
      </c>
    </row>
    <row r="159" customFormat="false" ht="15.75" hidden="false" customHeight="true" outlineLevel="0" collapsed="false">
      <c r="A159" s="49" t="n">
        <v>2023</v>
      </c>
      <c r="J159" s="39"/>
      <c r="K159" s="39"/>
      <c r="L159" s="39" t="n">
        <v>-1</v>
      </c>
    </row>
    <row r="160" customFormat="false" ht="15.75" hidden="false" customHeight="true" outlineLevel="0" collapsed="false">
      <c r="A160" s="7"/>
      <c r="B160" s="36" t="s">
        <v>0</v>
      </c>
      <c r="C160" s="36" t="s">
        <v>1</v>
      </c>
      <c r="D160" s="36" t="s">
        <v>2</v>
      </c>
      <c r="E160" s="36" t="s">
        <v>1</v>
      </c>
      <c r="F160" s="36" t="s">
        <v>3</v>
      </c>
      <c r="G160" s="36" t="s">
        <v>1</v>
      </c>
      <c r="J160" s="50" t="n">
        <f aca="false">J157+J158+J159</f>
        <v>26</v>
      </c>
      <c r="K160" s="50" t="n">
        <f aca="false">K157+K158+K159</f>
        <v>31</v>
      </c>
      <c r="L160" s="50" t="n">
        <f aca="false">L157+L158+L159</f>
        <v>26</v>
      </c>
    </row>
    <row r="161" customFormat="false" ht="15.75" hidden="false" customHeight="true" outlineLevel="0" collapsed="false">
      <c r="A161" s="7" t="s">
        <v>4</v>
      </c>
      <c r="B161" s="7"/>
      <c r="C161" s="7"/>
      <c r="D161" s="17" t="n">
        <v>44945</v>
      </c>
      <c r="E161" s="18" t="n">
        <v>0.861111111111111</v>
      </c>
      <c r="F161" s="17" t="n">
        <v>44960</v>
      </c>
      <c r="G161" s="18" t="n">
        <v>0.458333333333333</v>
      </c>
      <c r="H161" s="29" t="s">
        <v>40</v>
      </c>
      <c r="J161" s="40"/>
      <c r="K161" s="40"/>
      <c r="L161" s="40"/>
    </row>
    <row r="162" customFormat="false" ht="15.75" hidden="false" customHeight="true" outlineLevel="0" collapsed="false">
      <c r="A162" s="7" t="s">
        <v>4</v>
      </c>
      <c r="B162" s="7"/>
      <c r="C162" s="7"/>
      <c r="D162" s="17" t="n">
        <v>44960</v>
      </c>
      <c r="E162" s="18" t="n">
        <v>0.615972222222222</v>
      </c>
      <c r="F162" s="17" t="n">
        <v>44960</v>
      </c>
      <c r="G162" s="18" t="n">
        <v>0.634722222222222</v>
      </c>
      <c r="H162" s="29" t="s">
        <v>47</v>
      </c>
      <c r="J162" s="37" t="s">
        <v>34</v>
      </c>
      <c r="K162" s="37" t="s">
        <v>35</v>
      </c>
      <c r="L162" s="37" t="s">
        <v>39</v>
      </c>
    </row>
    <row r="163" customFormat="false" ht="15.75" hidden="false" customHeight="true" outlineLevel="0" collapsed="false">
      <c r="A163" s="7" t="s">
        <v>4</v>
      </c>
      <c r="B163" s="7"/>
      <c r="C163" s="7"/>
      <c r="D163" s="17" t="n">
        <v>44961</v>
      </c>
      <c r="E163" s="18" t="n">
        <v>0.569444444444444</v>
      </c>
      <c r="F163" s="17" t="n">
        <v>44965</v>
      </c>
      <c r="G163" s="18" t="n">
        <v>0.395833333333333</v>
      </c>
      <c r="H163" s="29" t="s">
        <v>40</v>
      </c>
      <c r="J163" s="39" t="n">
        <v>31</v>
      </c>
      <c r="K163" s="39" t="n">
        <v>30</v>
      </c>
      <c r="L163" s="39" t="n">
        <v>31</v>
      </c>
    </row>
    <row r="164" customFormat="false" ht="15.75" hidden="false" customHeight="true" outlineLevel="0" collapsed="false">
      <c r="A164" s="7" t="s">
        <v>4</v>
      </c>
      <c r="B164" s="7"/>
      <c r="C164" s="7"/>
      <c r="D164" s="17" t="n">
        <v>44971</v>
      </c>
      <c r="E164" s="18" t="n">
        <v>0.614583333333333</v>
      </c>
      <c r="F164" s="17" t="n">
        <v>44974</v>
      </c>
      <c r="G164" s="18" t="n">
        <v>0.635416666666667</v>
      </c>
      <c r="H164" s="29" t="s">
        <v>48</v>
      </c>
      <c r="J164" s="39"/>
      <c r="K164" s="39" t="n">
        <v>-2.5</v>
      </c>
      <c r="L164" s="39"/>
    </row>
    <row r="165" customFormat="false" ht="15.75" hidden="false" customHeight="true" outlineLevel="0" collapsed="false">
      <c r="A165" s="7" t="s">
        <v>4</v>
      </c>
      <c r="B165" s="7"/>
      <c r="C165" s="7"/>
      <c r="D165" s="17" t="n">
        <v>45013</v>
      </c>
      <c r="E165" s="18" t="n">
        <v>0.591666666666667</v>
      </c>
      <c r="F165" s="17" t="n">
        <v>45015</v>
      </c>
      <c r="G165" s="18" t="n">
        <v>0.546527777777778</v>
      </c>
      <c r="H165" s="29" t="s">
        <v>40</v>
      </c>
      <c r="J165" s="39"/>
      <c r="K165" s="39"/>
      <c r="L165" s="39"/>
    </row>
    <row r="166" customFormat="false" ht="15.75" hidden="false" customHeight="true" outlineLevel="0" collapsed="false">
      <c r="A166" s="7" t="s">
        <v>4</v>
      </c>
      <c r="B166" s="7"/>
      <c r="C166" s="7"/>
      <c r="D166" s="17"/>
      <c r="E166" s="18"/>
      <c r="F166" s="17"/>
      <c r="G166" s="18"/>
      <c r="J166" s="50" t="n">
        <f aca="false">J163+J164+J165</f>
        <v>31</v>
      </c>
      <c r="K166" s="50" t="n">
        <f aca="false">K163+K164+K165</f>
        <v>27.5</v>
      </c>
      <c r="L166" s="50" t="n">
        <f aca="false">L163+L164+L165</f>
        <v>31</v>
      </c>
    </row>
    <row r="167" customFormat="false" ht="15.75" hidden="false" customHeight="true" outlineLevel="0" collapsed="false">
      <c r="A167" s="7" t="s">
        <v>4</v>
      </c>
      <c r="B167" s="7"/>
      <c r="C167" s="7"/>
      <c r="D167" s="17"/>
      <c r="E167" s="18"/>
      <c r="F167" s="17"/>
      <c r="G167" s="18"/>
    </row>
    <row r="168" customFormat="false" ht="15.75" hidden="false" customHeight="true" outlineLevel="0" collapsed="false">
      <c r="A168" s="7" t="s">
        <v>4</v>
      </c>
      <c r="B168" s="7"/>
      <c r="C168" s="7"/>
      <c r="D168" s="17"/>
      <c r="E168" s="18"/>
      <c r="F168" s="17"/>
      <c r="G168" s="18"/>
    </row>
    <row r="169" customFormat="false" ht="15.75" hidden="false" customHeight="true" outlineLevel="0" collapsed="false">
      <c r="A169" s="46" t="s">
        <v>49</v>
      </c>
      <c r="B169" s="47"/>
      <c r="C169" s="47"/>
    </row>
    <row r="170" customFormat="false" ht="15.75" hidden="false" customHeight="true" outlineLevel="0" collapsed="false">
      <c r="A170" s="31" t="s">
        <v>50</v>
      </c>
      <c r="B170" s="20"/>
      <c r="C170" s="33"/>
      <c r="D170" s="34"/>
      <c r="E170" s="35"/>
      <c r="F170" s="34"/>
      <c r="G170" s="35"/>
      <c r="H170" s="20"/>
      <c r="I170" s="29"/>
    </row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>
      <c r="A176" s="12" t="s">
        <v>42</v>
      </c>
      <c r="B176" s="29"/>
      <c r="C176" s="29"/>
      <c r="D176" s="29"/>
      <c r="E176" s="29"/>
      <c r="G176" s="29" t="s">
        <v>43</v>
      </c>
    </row>
    <row r="177" customFormat="false" ht="15.75" hidden="false" customHeight="true" outlineLevel="0" collapsed="false">
      <c r="A177" s="36" t="s">
        <v>9</v>
      </c>
      <c r="B177" s="37" t="s">
        <v>10</v>
      </c>
      <c r="C177" s="37" t="s">
        <v>11</v>
      </c>
      <c r="D177" s="37" t="s">
        <v>12</v>
      </c>
      <c r="E177" s="37" t="s">
        <v>13</v>
      </c>
      <c r="G177" s="37" t="s">
        <v>44</v>
      </c>
      <c r="H177" s="37" t="s">
        <v>25</v>
      </c>
      <c r="I177" s="37" t="s">
        <v>26</v>
      </c>
    </row>
    <row r="178" customFormat="false" ht="15.75" hidden="false" customHeight="true" outlineLevel="0" collapsed="false">
      <c r="A178" s="15" t="n">
        <v>44927</v>
      </c>
      <c r="B178" s="38" t="n">
        <v>45107</v>
      </c>
      <c r="C178" s="39" t="n">
        <v>159</v>
      </c>
      <c r="D178" s="39" t="n">
        <v>32756</v>
      </c>
      <c r="E178" s="48" t="n">
        <f aca="false">D178/C178</f>
        <v>206.0125786</v>
      </c>
      <c r="G178" s="39" t="n">
        <v>19</v>
      </c>
      <c r="H178" s="39" t="n">
        <v>28</v>
      </c>
      <c r="I178" s="39" t="n">
        <v>31</v>
      </c>
    </row>
    <row r="179" customFormat="false" ht="15.75" hidden="false" customHeight="true" outlineLevel="0" collapsed="false">
      <c r="A179" s="12" t="s">
        <v>45</v>
      </c>
      <c r="B179" s="40"/>
      <c r="C179" s="40"/>
      <c r="D179" s="40"/>
      <c r="E179" s="40"/>
      <c r="G179" s="39"/>
      <c r="H179" s="39" t="n">
        <v>-5</v>
      </c>
      <c r="I179" s="39" t="n">
        <v>-2</v>
      </c>
    </row>
    <row r="180" customFormat="false" ht="15.75" hidden="false" customHeight="true" outlineLevel="0" collapsed="false">
      <c r="A180" s="36" t="s">
        <v>9</v>
      </c>
      <c r="B180" s="37" t="s">
        <v>10</v>
      </c>
      <c r="C180" s="37" t="s">
        <v>11</v>
      </c>
      <c r="D180" s="37" t="s">
        <v>12</v>
      </c>
      <c r="E180" s="37" t="s">
        <v>13</v>
      </c>
      <c r="G180" s="39"/>
      <c r="H180" s="39" t="n">
        <v>-3</v>
      </c>
      <c r="I180" s="39"/>
    </row>
    <row r="181" customFormat="false" ht="15.75" hidden="false" customHeight="true" outlineLevel="0" collapsed="false">
      <c r="A181" s="15" t="n">
        <v>45108</v>
      </c>
      <c r="B181" s="38" t="n">
        <v>45291</v>
      </c>
      <c r="C181" s="39" t="n">
        <v>184</v>
      </c>
      <c r="D181" s="39" t="n">
        <v>38264</v>
      </c>
      <c r="E181" s="48" t="n">
        <f aca="false">D181/C181</f>
        <v>207.9565217</v>
      </c>
      <c r="G181" s="50" t="n">
        <f aca="false">G178+G179+G180</f>
        <v>19</v>
      </c>
      <c r="H181" s="50" t="n">
        <f aca="false">H178+H179+H180</f>
        <v>20</v>
      </c>
      <c r="I181" s="50" t="n">
        <f aca="false">I178+I179+I180</f>
        <v>29</v>
      </c>
      <c r="J181" s="29"/>
    </row>
    <row r="182" customFormat="false" ht="15.75" hidden="false" customHeight="true" outlineLevel="0" collapsed="false">
      <c r="A182" s="12" t="s">
        <v>46</v>
      </c>
      <c r="B182" s="40"/>
      <c r="C182" s="40"/>
      <c r="D182" s="40"/>
      <c r="E182" s="40"/>
      <c r="G182" s="40"/>
      <c r="H182" s="40"/>
      <c r="I182" s="40"/>
    </row>
    <row r="183" customFormat="false" ht="15.75" hidden="false" customHeight="true" outlineLevel="0" collapsed="false">
      <c r="A183" s="36" t="s">
        <v>9</v>
      </c>
      <c r="B183" s="37" t="s">
        <v>10</v>
      </c>
      <c r="C183" s="37" t="s">
        <v>11</v>
      </c>
      <c r="D183" s="37" t="s">
        <v>12</v>
      </c>
      <c r="E183" s="37" t="s">
        <v>13</v>
      </c>
      <c r="G183" s="37" t="s">
        <v>31</v>
      </c>
      <c r="H183" s="37" t="s">
        <v>37</v>
      </c>
      <c r="I183" s="37" t="s">
        <v>33</v>
      </c>
    </row>
    <row r="184" customFormat="false" ht="15.75" hidden="false" customHeight="true" outlineLevel="0" collapsed="false">
      <c r="A184" s="15" t="n">
        <v>44927</v>
      </c>
      <c r="B184" s="38" t="n">
        <v>45291</v>
      </c>
      <c r="C184" s="39" t="n">
        <f aca="false">C178+C181</f>
        <v>343</v>
      </c>
      <c r="D184" s="39" t="n">
        <f aca="false">D178+D181</f>
        <v>71020</v>
      </c>
      <c r="E184" s="48" t="n">
        <f aca="false">D184/C184</f>
        <v>207.0553936</v>
      </c>
      <c r="G184" s="39" t="n">
        <v>31</v>
      </c>
      <c r="H184" s="39" t="n">
        <v>31</v>
      </c>
      <c r="I184" s="39" t="n">
        <v>30</v>
      </c>
    </row>
    <row r="185" customFormat="false" ht="15.75" hidden="false" customHeight="true" outlineLevel="0" collapsed="false">
      <c r="G185" s="39"/>
      <c r="H185" s="39"/>
      <c r="I185" s="39"/>
    </row>
    <row r="186" customFormat="false" ht="15.75" hidden="false" customHeight="true" outlineLevel="0" collapsed="false">
      <c r="G186" s="39"/>
      <c r="H186" s="39"/>
      <c r="I186" s="39"/>
    </row>
    <row r="187" customFormat="false" ht="15.75" hidden="false" customHeight="true" outlineLevel="0" collapsed="false">
      <c r="G187" s="50"/>
      <c r="H187" s="50"/>
      <c r="I187" s="50"/>
    </row>
    <row r="188" customFormat="false" ht="15.75" hidden="false" customHeight="true" outlineLevel="0" collapsed="false">
      <c r="J188" s="37" t="s">
        <v>27</v>
      </c>
      <c r="K188" s="37" t="s">
        <v>29</v>
      </c>
      <c r="L188" s="37" t="s">
        <v>30</v>
      </c>
    </row>
    <row r="189" customFormat="false" ht="15.75" hidden="false" customHeight="true" outlineLevel="0" collapsed="false">
      <c r="J189" s="39" t="n">
        <v>30</v>
      </c>
      <c r="K189" s="39" t="n">
        <v>31</v>
      </c>
      <c r="L189" s="39" t="n">
        <v>30</v>
      </c>
    </row>
    <row r="190" customFormat="false" ht="15.75" hidden="false" customHeight="true" outlineLevel="0" collapsed="false">
      <c r="J190" s="39"/>
      <c r="K190" s="39"/>
      <c r="L190" s="39"/>
    </row>
    <row r="191" customFormat="false" ht="15.75" hidden="false" customHeight="true" outlineLevel="0" collapsed="false">
      <c r="A191" s="49" t="n">
        <v>2024</v>
      </c>
      <c r="J191" s="39"/>
      <c r="K191" s="39"/>
      <c r="L191" s="39"/>
    </row>
    <row r="192" customFormat="false" ht="15.75" hidden="false" customHeight="true" outlineLevel="0" collapsed="false">
      <c r="A192" s="7"/>
      <c r="B192" s="36" t="s">
        <v>0</v>
      </c>
      <c r="C192" s="36" t="s">
        <v>1</v>
      </c>
      <c r="D192" s="36" t="s">
        <v>2</v>
      </c>
      <c r="E192" s="36" t="s">
        <v>1</v>
      </c>
      <c r="F192" s="36" t="s">
        <v>3</v>
      </c>
      <c r="G192" s="36" t="s">
        <v>1</v>
      </c>
      <c r="J192" s="50" t="n">
        <f aca="false">J189+J190+J191</f>
        <v>30</v>
      </c>
      <c r="K192" s="50" t="n">
        <f aca="false">K189+K190+K191</f>
        <v>31</v>
      </c>
      <c r="L192" s="50" t="n">
        <f aca="false">L189+L190+L191</f>
        <v>30</v>
      </c>
    </row>
    <row r="193" customFormat="false" ht="15.75" hidden="false" customHeight="true" outlineLevel="0" collapsed="false">
      <c r="A193" s="7" t="s">
        <v>4</v>
      </c>
      <c r="B193" s="7"/>
      <c r="C193" s="7"/>
      <c r="D193" s="17" t="n">
        <v>45327</v>
      </c>
      <c r="E193" s="18" t="n">
        <v>0.645833333333333</v>
      </c>
      <c r="F193" s="17" t="n">
        <v>45330</v>
      </c>
      <c r="G193" s="18" t="n">
        <v>0.657638888888889</v>
      </c>
      <c r="H193" s="29" t="s">
        <v>51</v>
      </c>
      <c r="J193" s="40"/>
      <c r="K193" s="40"/>
      <c r="L193" s="40"/>
    </row>
    <row r="194" customFormat="false" ht="15.75" hidden="false" customHeight="true" outlineLevel="0" collapsed="false">
      <c r="A194" s="7" t="s">
        <v>4</v>
      </c>
      <c r="B194" s="7"/>
      <c r="C194" s="7"/>
      <c r="D194" s="17" t="n">
        <v>45338</v>
      </c>
      <c r="E194" s="18" t="n">
        <v>0.386805555555556</v>
      </c>
      <c r="F194" s="17" t="n">
        <v>45350</v>
      </c>
      <c r="G194" s="18" t="n">
        <v>0.424305555555556</v>
      </c>
      <c r="H194" s="29" t="s">
        <v>52</v>
      </c>
      <c r="J194" s="37" t="s">
        <v>34</v>
      </c>
      <c r="K194" s="37" t="s">
        <v>35</v>
      </c>
      <c r="L194" s="37" t="s">
        <v>39</v>
      </c>
    </row>
    <row r="195" customFormat="false" ht="15.75" hidden="false" customHeight="true" outlineLevel="0" collapsed="false">
      <c r="A195" s="7" t="s">
        <v>4</v>
      </c>
      <c r="B195" s="7"/>
      <c r="C195" s="7"/>
      <c r="D195" s="17" t="n">
        <v>45388</v>
      </c>
      <c r="E195" s="18" t="n">
        <v>0.390277777777778</v>
      </c>
      <c r="F195" s="17" t="n">
        <v>45394</v>
      </c>
      <c r="G195" s="18" t="n">
        <v>0.646527777777778</v>
      </c>
      <c r="H195" s="29" t="s">
        <v>53</v>
      </c>
      <c r="J195" s="39" t="n">
        <v>31</v>
      </c>
      <c r="K195" s="39" t="n">
        <v>30</v>
      </c>
      <c r="L195" s="39" t="n">
        <v>31</v>
      </c>
    </row>
    <row r="196" customFormat="false" ht="15.75" hidden="false" customHeight="true" outlineLevel="0" collapsed="false">
      <c r="A196" s="7" t="s">
        <v>4</v>
      </c>
      <c r="B196" s="7"/>
      <c r="C196" s="7"/>
      <c r="D196" s="17" t="n">
        <v>45433</v>
      </c>
      <c r="E196" s="18" t="n">
        <v>0.595833333333333</v>
      </c>
      <c r="F196" s="17" t="n">
        <v>45440</v>
      </c>
      <c r="G196" s="18" t="n">
        <v>0.459027777777778</v>
      </c>
      <c r="H196" s="29" t="s">
        <v>54</v>
      </c>
      <c r="J196" s="39"/>
      <c r="K196" s="39"/>
      <c r="L196" s="39"/>
    </row>
    <row r="197" customFormat="false" ht="15.75" hidden="false" customHeight="true" outlineLevel="0" collapsed="false">
      <c r="A197" s="7" t="s">
        <v>4</v>
      </c>
      <c r="B197" s="7"/>
      <c r="C197" s="7"/>
      <c r="D197" s="17"/>
      <c r="E197" s="18"/>
      <c r="F197" s="17"/>
      <c r="G197" s="18"/>
      <c r="J197" s="39"/>
      <c r="K197" s="39"/>
      <c r="L197" s="39"/>
    </row>
    <row r="198" customFormat="false" ht="15.75" hidden="false" customHeight="true" outlineLevel="0" collapsed="false">
      <c r="A198" s="7" t="s">
        <v>4</v>
      </c>
      <c r="B198" s="7"/>
      <c r="C198" s="7"/>
      <c r="D198" s="17"/>
      <c r="E198" s="18"/>
      <c r="F198" s="17"/>
      <c r="G198" s="18"/>
      <c r="J198" s="50"/>
      <c r="K198" s="50"/>
      <c r="L198" s="50"/>
    </row>
    <row r="199" customFormat="false" ht="15.75" hidden="false" customHeight="true" outlineLevel="0" collapsed="false">
      <c r="A199" s="7" t="s">
        <v>4</v>
      </c>
      <c r="B199" s="7"/>
      <c r="C199" s="7"/>
      <c r="D199" s="17"/>
      <c r="E199" s="18"/>
      <c r="F199" s="17"/>
      <c r="G199" s="18"/>
    </row>
    <row r="200" customFormat="false" ht="15.75" hidden="false" customHeight="true" outlineLevel="0" collapsed="false">
      <c r="A200" s="7" t="s">
        <v>4</v>
      </c>
      <c r="B200" s="7"/>
      <c r="C200" s="7"/>
      <c r="D200" s="17"/>
      <c r="E200" s="18"/>
      <c r="F200" s="17"/>
      <c r="G200" s="18"/>
    </row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.71"/>
    <col collapsed="false" customWidth="true" hidden="false" outlineLevel="0" max="3" min="3" style="1" width="12.29"/>
    <col collapsed="false" customWidth="true" hidden="false" outlineLevel="0" max="4" min="4" style="1" width="12.43"/>
    <col collapsed="false" customWidth="true" hidden="false" outlineLevel="0" max="5" min="5" style="1" width="8.71"/>
    <col collapsed="false" customWidth="true" hidden="false" outlineLevel="0" max="6" min="6" style="1" width="10.71"/>
    <col collapsed="false" customWidth="true" hidden="false" outlineLevel="0" max="10" min="7" style="1" width="8.71"/>
    <col collapsed="false" customWidth="true" hidden="false" outlineLevel="0" max="11" min="11" style="1" width="36.29"/>
    <col collapsed="false" customWidth="true" hidden="false" outlineLevel="0" max="12" min="12" style="1" width="11"/>
    <col collapsed="false" customWidth="true" hidden="false" outlineLevel="0" max="13" min="13" style="1" width="10.71"/>
    <col collapsed="false" customWidth="true" hidden="false" outlineLevel="0" max="14" min="14" style="1" width="8.71"/>
    <col collapsed="false" customWidth="true" hidden="false" outlineLevel="0" max="15" min="15" style="1" width="10.71"/>
    <col collapsed="false" customWidth="true" hidden="false" outlineLevel="0" max="26" min="16" style="1" width="8.71"/>
  </cols>
  <sheetData>
    <row r="1" customFormat="false" ht="15" hidden="false" customHeight="false" outlineLevel="0" collapsed="false">
      <c r="C1" s="12" t="s">
        <v>55</v>
      </c>
      <c r="D1" s="12"/>
      <c r="E1" s="12"/>
    </row>
    <row r="3" customFormat="false" ht="15" hidden="false" customHeight="false" outlineLevel="0" collapsed="false">
      <c r="A3" s="20"/>
      <c r="B3" s="51" t="n">
        <v>2018</v>
      </c>
      <c r="C3" s="2" t="s">
        <v>56</v>
      </c>
      <c r="D3" s="29"/>
      <c r="E3" s="29"/>
      <c r="F3" s="29"/>
      <c r="G3" s="29"/>
      <c r="H3" s="29"/>
      <c r="I3" s="29"/>
      <c r="J3" s="29"/>
      <c r="K3" s="52"/>
      <c r="L3" s="29"/>
      <c r="M3" s="29"/>
      <c r="N3" s="29"/>
    </row>
    <row r="4" customFormat="false" ht="15" hidden="false" customHeight="false" outlineLevel="0" collapsed="false">
      <c r="A4" s="20"/>
      <c r="B4" s="51" t="n">
        <v>2018</v>
      </c>
      <c r="C4" s="12" t="s">
        <v>57</v>
      </c>
      <c r="D4" s="12"/>
      <c r="E4" s="29"/>
      <c r="F4" s="29"/>
      <c r="G4" s="29"/>
      <c r="H4" s="29"/>
      <c r="I4" s="29"/>
      <c r="J4" s="29"/>
      <c r="K4" s="52"/>
      <c r="L4" s="29"/>
      <c r="M4" s="29"/>
      <c r="N4" s="29"/>
    </row>
    <row r="5" customFormat="false" ht="15" hidden="false" customHeight="false" outlineLevel="0" collapsed="false">
      <c r="B5" s="40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</row>
    <row r="6" customFormat="false" ht="15" hidden="false" customHeight="false" outlineLevel="0" collapsed="false">
      <c r="A6" s="53" t="n">
        <v>43518</v>
      </c>
      <c r="B6" s="54" t="n">
        <v>2019</v>
      </c>
      <c r="C6" s="55" t="s">
        <v>58</v>
      </c>
      <c r="D6" s="56"/>
      <c r="E6" s="57"/>
      <c r="F6" s="58"/>
      <c r="G6" s="59"/>
      <c r="H6" s="58"/>
      <c r="I6" s="2"/>
      <c r="J6" s="2"/>
      <c r="K6" s="29"/>
      <c r="L6" s="29"/>
      <c r="M6" s="29"/>
      <c r="N6" s="29"/>
      <c r="O6" s="29"/>
    </row>
    <row r="7" customFormat="false" ht="15" hidden="false" customHeight="false" outlineLevel="0" collapsed="false">
      <c r="A7" s="53" t="n">
        <v>43592</v>
      </c>
      <c r="B7" s="54" t="n">
        <v>2019</v>
      </c>
      <c r="C7" s="60" t="s">
        <v>59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customFormat="false" ht="15" hidden="false" customHeight="false" outlineLevel="0" collapsed="false">
      <c r="A8" s="53" t="n">
        <v>43600</v>
      </c>
      <c r="B8" s="54" t="n">
        <v>2019</v>
      </c>
      <c r="C8" s="60" t="s">
        <v>60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customFormat="false" ht="15" hidden="false" customHeight="false" outlineLevel="0" collapsed="false">
      <c r="B9" s="50"/>
      <c r="C9" s="12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</row>
    <row r="10" customFormat="false" ht="15" hidden="false" customHeight="false" outlineLevel="0" collapsed="false">
      <c r="A10" s="61" t="n">
        <v>43986</v>
      </c>
      <c r="B10" s="62" t="n">
        <v>2020</v>
      </c>
      <c r="C10" s="2" t="s">
        <v>61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</row>
    <row r="11" customFormat="false" ht="15" hidden="false" customHeight="false" outlineLevel="0" collapsed="false">
      <c r="B11" s="40"/>
      <c r="C11" s="29"/>
      <c r="D11" s="29"/>
      <c r="E11" s="29"/>
      <c r="F11" s="29"/>
      <c r="G11" s="29"/>
      <c r="H11" s="2"/>
      <c r="I11" s="2"/>
      <c r="J11" s="29"/>
      <c r="K11" s="29"/>
      <c r="L11" s="29"/>
      <c r="M11" s="29"/>
      <c r="N11" s="29"/>
      <c r="O11" s="29"/>
    </row>
    <row r="12" customFormat="false" ht="15" hidden="false" customHeight="false" outlineLevel="0" collapsed="false">
      <c r="A12" s="47"/>
      <c r="B12" s="63" t="n">
        <v>2021</v>
      </c>
      <c r="C12" s="3" t="n">
        <v>44231</v>
      </c>
      <c r="D12" s="64" t="n">
        <v>0.631944444444444</v>
      </c>
      <c r="E12" s="2" t="s">
        <v>62</v>
      </c>
      <c r="F12" s="2"/>
      <c r="G12" s="2"/>
      <c r="H12" s="2"/>
      <c r="I12" s="2"/>
      <c r="J12" s="29"/>
      <c r="K12" s="65"/>
      <c r="L12" s="65"/>
      <c r="M12" s="29"/>
      <c r="N12" s="29"/>
      <c r="O12" s="29"/>
    </row>
    <row r="13" customFormat="false" ht="15" hidden="false" customHeight="false" outlineLevel="0" collapsed="false">
      <c r="A13" s="47"/>
      <c r="B13" s="63" t="n">
        <v>2021</v>
      </c>
      <c r="C13" s="66" t="n">
        <v>44231</v>
      </c>
      <c r="D13" s="67" t="n">
        <v>0.670833333333333</v>
      </c>
      <c r="E13" s="12" t="s">
        <v>63</v>
      </c>
      <c r="F13" s="12"/>
      <c r="G13" s="2"/>
      <c r="H13" s="29"/>
      <c r="I13" s="29"/>
      <c r="J13" s="29"/>
      <c r="K13" s="29"/>
      <c r="L13" s="29"/>
      <c r="M13" s="29"/>
      <c r="N13" s="29"/>
    </row>
    <row r="14" customFormat="false" ht="15" hidden="false" customHeight="false" outlineLevel="0" collapsed="false">
      <c r="A14" s="68" t="n">
        <v>44258</v>
      </c>
      <c r="B14" s="63" t="n">
        <v>2021</v>
      </c>
      <c r="C14" s="69" t="s">
        <v>64</v>
      </c>
      <c r="D14" s="50"/>
      <c r="E14" s="50"/>
      <c r="F14" s="50"/>
      <c r="G14" s="50"/>
      <c r="H14" s="29"/>
      <c r="I14" s="29"/>
      <c r="J14" s="29"/>
      <c r="K14" s="29"/>
      <c r="L14" s="29"/>
      <c r="M14" s="29"/>
      <c r="N14" s="29"/>
    </row>
    <row r="15" customFormat="false" ht="15" hidden="false" customHeight="false" outlineLevel="0" collapsed="false"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</row>
    <row r="16" customFormat="false" ht="15" hidden="false" customHeight="false" outlineLevel="0" collapsed="false">
      <c r="A16" s="70" t="n">
        <v>44974</v>
      </c>
      <c r="B16" s="71" t="n">
        <v>2023</v>
      </c>
      <c r="C16" s="60" t="s">
        <v>65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8.71"/>
    <col collapsed="false" customWidth="true" hidden="false" outlineLevel="0" max="2" min="2" style="1" width="22.15"/>
    <col collapsed="false" customWidth="true" hidden="false" outlineLevel="0" max="4" min="3" style="1" width="10.71"/>
    <col collapsed="false" customWidth="true" hidden="false" outlineLevel="0" max="5" min="5" style="1" width="10.43"/>
    <col collapsed="false" customWidth="true" hidden="false" outlineLevel="0" max="6" min="6" style="1" width="13.29"/>
    <col collapsed="false" customWidth="true" hidden="false" outlineLevel="0" max="7" min="7" style="1" width="8.71"/>
    <col collapsed="false" customWidth="true" hidden="false" outlineLevel="0" max="8" min="8" style="1" width="13.71"/>
    <col collapsed="false" customWidth="true" hidden="false" outlineLevel="0" max="10" min="9" style="1" width="8.71"/>
    <col collapsed="false" customWidth="true" hidden="false" outlineLevel="0" max="11" min="11" style="1" width="97"/>
    <col collapsed="false" customWidth="true" hidden="false" outlineLevel="0" max="26" min="12" style="1" width="8.71"/>
  </cols>
  <sheetData>
    <row r="2" customFormat="false" ht="15" hidden="false" customHeight="false" outlineLevel="0" collapsed="false">
      <c r="B2" s="12" t="s">
        <v>66</v>
      </c>
    </row>
    <row r="4" customFormat="false" ht="46.95" hidden="false" customHeight="false" outlineLevel="0" collapsed="false">
      <c r="B4" s="72" t="s">
        <v>67</v>
      </c>
      <c r="C4" s="73" t="s">
        <v>68</v>
      </c>
      <c r="D4" s="73" t="s">
        <v>69</v>
      </c>
      <c r="E4" s="73" t="s">
        <v>70</v>
      </c>
      <c r="F4" s="73" t="s">
        <v>71</v>
      </c>
      <c r="H4" s="72" t="s">
        <v>72</v>
      </c>
      <c r="I4" s="73" t="s">
        <v>73</v>
      </c>
      <c r="J4" s="73" t="s">
        <v>74</v>
      </c>
      <c r="K4" s="73" t="s">
        <v>75</v>
      </c>
      <c r="L4" s="73" t="s">
        <v>76</v>
      </c>
    </row>
    <row r="5" customFormat="false" ht="24.05" hidden="false" customHeight="false" outlineLevel="0" collapsed="false">
      <c r="B5" s="74" t="s">
        <v>77</v>
      </c>
      <c r="C5" s="75" t="n">
        <v>42653</v>
      </c>
      <c r="D5" s="75" t="n">
        <v>42766</v>
      </c>
      <c r="E5" s="76" t="n">
        <v>113</v>
      </c>
      <c r="F5" s="76" t="n">
        <v>13987</v>
      </c>
      <c r="I5" s="77" t="s">
        <v>78</v>
      </c>
      <c r="J5" s="78" t="n">
        <v>42795</v>
      </c>
      <c r="K5" s="79" t="s">
        <v>79</v>
      </c>
      <c r="L5" s="76" t="n">
        <v>16</v>
      </c>
    </row>
    <row r="6" customFormat="false" ht="24.05" hidden="false" customHeight="false" outlineLevel="0" collapsed="false">
      <c r="B6" s="80" t="s">
        <v>80</v>
      </c>
      <c r="C6" s="81" t="n">
        <v>42767</v>
      </c>
      <c r="D6" s="81" t="n">
        <v>42768</v>
      </c>
      <c r="E6" s="82" t="n">
        <v>1</v>
      </c>
      <c r="F6" s="82" t="n">
        <v>144</v>
      </c>
      <c r="I6" s="77" t="s">
        <v>81</v>
      </c>
      <c r="J6" s="78" t="n">
        <v>42887</v>
      </c>
      <c r="K6" s="79" t="s">
        <v>82</v>
      </c>
      <c r="L6" s="76" t="n">
        <v>8</v>
      </c>
    </row>
    <row r="7" customFormat="false" ht="24.05" hidden="false" customHeight="false" outlineLevel="0" collapsed="false">
      <c r="B7" s="74" t="s">
        <v>77</v>
      </c>
      <c r="C7" s="75" t="n">
        <v>42823</v>
      </c>
      <c r="D7" s="75" t="n">
        <v>42881</v>
      </c>
      <c r="E7" s="76" t="n">
        <v>50</v>
      </c>
      <c r="F7" s="76" t="n">
        <v>6868</v>
      </c>
      <c r="I7" s="77" t="s">
        <v>83</v>
      </c>
      <c r="J7" s="78" t="n">
        <v>42917</v>
      </c>
      <c r="K7" s="79" t="s">
        <v>84</v>
      </c>
      <c r="L7" s="83" t="n">
        <v>4</v>
      </c>
    </row>
    <row r="8" customFormat="false" ht="37.5" hidden="false" customHeight="true" outlineLevel="0" collapsed="false">
      <c r="B8" s="74" t="s">
        <v>77</v>
      </c>
      <c r="C8" s="75" t="n">
        <v>42950</v>
      </c>
      <c r="D8" s="75" t="n">
        <v>42993</v>
      </c>
      <c r="E8" s="76" t="n">
        <v>42</v>
      </c>
      <c r="F8" s="83" t="n">
        <v>8942</v>
      </c>
      <c r="K8" s="84" t="s">
        <v>85</v>
      </c>
      <c r="L8" s="85" t="n">
        <f aca="false">SUM(L5:L7)</f>
        <v>28</v>
      </c>
    </row>
    <row r="9" customFormat="false" ht="15" hidden="false" customHeight="false" outlineLevel="0" collapsed="false">
      <c r="B9" s="74" t="s">
        <v>86</v>
      </c>
      <c r="C9" s="75" t="n">
        <v>42993</v>
      </c>
      <c r="D9" s="75" t="n">
        <v>43100</v>
      </c>
      <c r="E9" s="86" t="n">
        <v>94</v>
      </c>
      <c r="F9" s="87" t="n">
        <v>14007</v>
      </c>
    </row>
    <row r="10" customFormat="false" ht="15" hidden="false" customHeight="false" outlineLevel="0" collapsed="false">
      <c r="D10" s="85" t="s">
        <v>85</v>
      </c>
      <c r="E10" s="85" t="e">
        <f aca="false">SUM(E5:E10)</f>
        <v>#VALUE!</v>
      </c>
      <c r="F10" s="88" t="e">
        <f aca="false">SUM(F5:F10)</f>
        <v>#VALUE!</v>
      </c>
    </row>
    <row r="11" customFormat="false" ht="24.05" hidden="false" customHeight="false" outlineLevel="0" collapsed="false">
      <c r="E11" s="89" t="s">
        <v>70</v>
      </c>
      <c r="F11" s="73" t="s">
        <v>71</v>
      </c>
    </row>
    <row r="13" customFormat="false" ht="15" hidden="false" customHeight="false" outlineLevel="0" collapsed="false">
      <c r="I13" s="72" t="s">
        <v>87</v>
      </c>
      <c r="J13" s="89" t="s">
        <v>88</v>
      </c>
    </row>
    <row r="14" customFormat="false" ht="81.3" hidden="false" customHeight="false" outlineLevel="0" collapsed="false">
      <c r="B14" s="90" t="s">
        <v>89</v>
      </c>
      <c r="C14" s="91" t="s">
        <v>90</v>
      </c>
      <c r="F14" s="92" t="s">
        <v>91</v>
      </c>
      <c r="G14" s="93" t="s">
        <v>90</v>
      </c>
      <c r="I14" s="94" t="s">
        <v>92</v>
      </c>
      <c r="J14" s="85" t="n">
        <v>267</v>
      </c>
    </row>
    <row r="15" customFormat="false" ht="81.3" hidden="false" customHeight="false" outlineLevel="0" collapsed="false">
      <c r="B15" s="95" t="s">
        <v>93</v>
      </c>
      <c r="C15" s="76" t="n">
        <v>2416</v>
      </c>
      <c r="F15" s="96" t="s">
        <v>94</v>
      </c>
      <c r="G15" s="97" t="n">
        <v>6</v>
      </c>
      <c r="I15" s="95" t="s">
        <v>95</v>
      </c>
      <c r="J15" s="85" t="n">
        <v>14</v>
      </c>
    </row>
    <row r="16" customFormat="false" ht="58.4" hidden="false" customHeight="false" outlineLevel="0" collapsed="false">
      <c r="B16" s="95" t="s">
        <v>96</v>
      </c>
      <c r="C16" s="76" t="n">
        <v>13</v>
      </c>
      <c r="F16" s="98" t="s">
        <v>97</v>
      </c>
      <c r="G16" s="99" t="n">
        <v>3</v>
      </c>
      <c r="I16" s="95" t="s">
        <v>98</v>
      </c>
      <c r="J16" s="85" t="n">
        <v>72</v>
      </c>
    </row>
    <row r="17" customFormat="false" ht="15" hidden="false" customHeight="false" outlineLevel="0" collapsed="false">
      <c r="B17" s="95" t="s">
        <v>99</v>
      </c>
      <c r="C17" s="76" t="n">
        <v>38</v>
      </c>
      <c r="F17" s="85" t="s">
        <v>85</v>
      </c>
      <c r="G17" s="85" t="n">
        <f aca="false">SUM(G12:G16)</f>
        <v>9</v>
      </c>
      <c r="I17" s="85" t="s">
        <v>85</v>
      </c>
      <c r="J17" s="85" t="n">
        <f aca="false">SUM(J14:J16)</f>
        <v>353</v>
      </c>
    </row>
    <row r="18" customFormat="false" ht="15" hidden="false" customHeight="false" outlineLevel="0" collapsed="false">
      <c r="B18" s="95" t="s">
        <v>100</v>
      </c>
      <c r="C18" s="76" t="n">
        <v>8</v>
      </c>
    </row>
    <row r="19" customFormat="false" ht="15" hidden="false" customHeight="false" outlineLevel="0" collapsed="false">
      <c r="B19" s="95" t="s">
        <v>101</v>
      </c>
      <c r="C19" s="76" t="n">
        <v>6</v>
      </c>
      <c r="F19" s="100" t="s">
        <v>102</v>
      </c>
      <c r="G19" s="47"/>
      <c r="H19" s="47"/>
      <c r="I19" s="47"/>
      <c r="J19" s="47"/>
      <c r="K19" s="47"/>
    </row>
    <row r="20" customFormat="false" ht="15" hidden="false" customHeight="false" outlineLevel="0" collapsed="false">
      <c r="B20" s="85" t="s">
        <v>85</v>
      </c>
      <c r="C20" s="85" t="n">
        <f aca="false">SUM(C15:C19)</f>
        <v>2481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>
      <c r="B24" s="72" t="s">
        <v>103</v>
      </c>
      <c r="C24" s="73" t="s">
        <v>68</v>
      </c>
      <c r="D24" s="73" t="s">
        <v>69</v>
      </c>
      <c r="E24" s="73" t="s">
        <v>70</v>
      </c>
    </row>
    <row r="25" customFormat="false" ht="15.75" hidden="false" customHeight="true" outlineLevel="0" collapsed="false">
      <c r="B25" s="74" t="s">
        <v>86</v>
      </c>
      <c r="C25" s="75" t="n">
        <v>43101</v>
      </c>
      <c r="D25" s="17" t="n">
        <v>43262</v>
      </c>
      <c r="E25" s="86"/>
    </row>
    <row r="26" customFormat="false" ht="15.75" hidden="false" customHeight="true" outlineLevel="0" collapsed="false">
      <c r="B26" s="7" t="s">
        <v>104</v>
      </c>
      <c r="C26" s="101" t="n">
        <v>43311</v>
      </c>
      <c r="D26" s="102" t="n">
        <v>43354</v>
      </c>
    </row>
    <row r="27" customFormat="false" ht="15.75" hidden="false" customHeight="true" outlineLevel="0" collapsed="false">
      <c r="B27" s="7" t="s">
        <v>105</v>
      </c>
      <c r="C27" s="17" t="n">
        <v>43354</v>
      </c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8.71"/>
    <col collapsed="false" customWidth="true" hidden="false" outlineLevel="0" max="2" min="2" style="1" width="43"/>
    <col collapsed="false" customWidth="true" hidden="false" outlineLevel="0" max="3" min="3" style="1" width="83.29"/>
    <col collapsed="false" customWidth="true" hidden="false" outlineLevel="0" max="26" min="4" style="1" width="8.71"/>
  </cols>
  <sheetData>
    <row r="4" customFormat="false" ht="19.7" hidden="false" customHeight="false" outlineLevel="0" collapsed="false">
      <c r="B4" s="103" t="s">
        <v>106</v>
      </c>
      <c r="C4" s="103" t="s">
        <v>107</v>
      </c>
    </row>
    <row r="5" customFormat="false" ht="19.7" hidden="false" customHeight="false" outlineLevel="0" collapsed="false">
      <c r="B5" s="104" t="s">
        <v>78</v>
      </c>
      <c r="C5" s="105" t="n">
        <v>42795</v>
      </c>
    </row>
    <row r="6" customFormat="false" ht="19.7" hidden="false" customHeight="false" outlineLevel="0" collapsed="false">
      <c r="B6" s="104" t="s">
        <v>81</v>
      </c>
      <c r="C6" s="105" t="n">
        <v>42887</v>
      </c>
    </row>
    <row r="7" customFormat="false" ht="19.7" hidden="false" customHeight="false" outlineLevel="0" collapsed="false">
      <c r="B7" s="104" t="s">
        <v>108</v>
      </c>
      <c r="C7" s="105" t="n">
        <v>42917</v>
      </c>
    </row>
    <row r="8" customFormat="false" ht="46.95" hidden="false" customHeight="false" outlineLevel="0" collapsed="false">
      <c r="B8" s="104" t="s">
        <v>109</v>
      </c>
      <c r="C8" s="105" t="n">
        <v>43282</v>
      </c>
    </row>
    <row r="9" customFormat="false" ht="46.95" hidden="false" customHeight="false" outlineLevel="0" collapsed="false">
      <c r="B9" s="104" t="s">
        <v>110</v>
      </c>
      <c r="C9" s="105" t="n">
        <v>43282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2006-09-25T09:17:32Z</dcterms:created>
  <dc:creator/>
  <dc:description/>
  <dc:language>it-IT</dc:language>
  <cp:lastModifiedBy/>
  <dcterms:modified xsi:type="dcterms:W3CDTF">2025-01-28T10:59:28Z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